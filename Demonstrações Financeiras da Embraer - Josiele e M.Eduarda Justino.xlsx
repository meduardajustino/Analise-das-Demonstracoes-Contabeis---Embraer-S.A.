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Patrimonial" sheetId="1" r:id="rId4"/>
    <sheet state="visible" name="Demonstração de Resultado (DRE)" sheetId="2" r:id="rId5"/>
    <sheet state="visible" name="Fluxo de Caixa (DFC)" sheetId="3" r:id="rId6"/>
    <sheet state="visible" name="Índices Financeiros" sheetId="4" r:id="rId7"/>
    <sheet state="visible" name="Efeito Tesoura" sheetId="5" r:id="rId8"/>
    <sheet state="visible" name="Ciclos e prazos" sheetId="6" r:id="rId9"/>
    <sheet state="visible" name="AH e AV" sheetId="7" r:id="rId10"/>
  </sheets>
  <definedNames/>
  <calcPr/>
</workbook>
</file>

<file path=xl/sharedStrings.xml><?xml version="1.0" encoding="utf-8"?>
<sst xmlns="http://schemas.openxmlformats.org/spreadsheetml/2006/main" count="932" uniqueCount="702">
  <si>
    <t xml:space="preserve">         BALANÇO PATRIMONIAL</t>
  </si>
  <si>
    <t>ANO (valores em milhares de reais)</t>
  </si>
  <si>
    <t>CD_CONTA</t>
  </si>
  <si>
    <t>DS_CONTA</t>
  </si>
  <si>
    <t>1</t>
  </si>
  <si>
    <t>Ativo Total</t>
  </si>
  <si>
    <t>1.01</t>
  </si>
  <si>
    <t>Ativo Circulante</t>
  </si>
  <si>
    <t>1.01.01</t>
  </si>
  <si>
    <t>Caixa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</si>
  <si>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</si>
  <si>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</si>
  <si>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</si>
  <si>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</si>
  <si>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</si>
  <si>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</si>
  <si>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</si>
  <si>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</si>
  <si>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</si>
  <si>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</si>
  <si>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</si>
  <si>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</si>
  <si>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</si>
  <si>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</si>
  <si>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</si>
  <si>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</si>
  <si>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1.01.03.01.01</t>
  </si>
  <si>
    <t>Contas a receber</t>
  </si>
  <si>
    <t>1.01.03.01.02</t>
  </si>
  <si>
    <t>Financiamento a clientes</t>
  </si>
  <si>
    <t>1.01.03.01.03</t>
  </si>
  <si>
    <t>Contas a receber vinculadas</t>
  </si>
  <si>
    <t>1.01.03.02</t>
  </si>
  <si>
    <t>Outras Contas a Receber</t>
  </si>
  <si>
    <t>1.01.04</t>
  </si>
  <si>
    <t>Estoques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</si>
  <si>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</si>
  <si>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</si>
  <si>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</si>
  <si>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</si>
  <si>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</si>
  <si>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</si>
  <si>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1.01.07</t>
  </si>
  <si>
    <t>Despesas Antecipadas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</si>
  <si>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</si>
  <si>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</si>
  <si>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</si>
  <si>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</si>
  <si>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</si>
  <si>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</si>
  <si>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1.01.08.02.01</t>
  </si>
  <si>
    <t>Ativos mantidos para venda</t>
  </si>
  <si>
    <t>1.01.08.03</t>
  </si>
  <si>
    <t>Outros</t>
  </si>
  <si>
    <t>1.01.08.03.01</t>
  </si>
  <si>
    <t>Outros ativos</t>
  </si>
  <si>
    <t>1.01.08.03.02</t>
  </si>
  <si>
    <t>Instrumentos financeiros derivativos</t>
  </si>
  <si>
    <t>1.01.08.03.03</t>
  </si>
  <si>
    <t>Depósitos em garantia</t>
  </si>
  <si>
    <t>1.01.08.03.04</t>
  </si>
  <si>
    <t>Ativos de contrato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</si>
  <si>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</si>
  <si>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</si>
  <si>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</si>
  <si>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</si>
  <si>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</si>
  <si>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</si>
  <si>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</si>
  <si>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</si>
  <si>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</si>
  <si>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</si>
  <si>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</si>
  <si>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</si>
  <si>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1.02.01.04.04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</si>
  <si>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</si>
  <si>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</si>
  <si>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</si>
  <si>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</si>
  <si>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</si>
  <si>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</si>
  <si>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</si>
  <si>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</si>
  <si>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</si>
  <si>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</si>
  <si>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</si>
  <si>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</si>
  <si>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</si>
  <si>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</si>
  <si>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</si>
  <si>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</si>
  <si>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</si>
  <si>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</si>
  <si>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</si>
  <si>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</si>
  <si>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Tributos a recuperar</t>
  </si>
  <si>
    <t>1.02.01.10.04</t>
  </si>
  <si>
    <t>1.02.01.10.05</t>
  </si>
  <si>
    <t>1.02.01.10.06</t>
  </si>
  <si>
    <t>1.02.01.10.07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</si>
  <si>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</si>
  <si>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</si>
  <si>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</si>
  <si>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</si>
  <si>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</si>
  <si>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</si>
  <si>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1.02.02.01.04</t>
  </si>
  <si>
    <t>Participações em Controladas em Conjunto</t>
  </si>
  <si>
    <t>1.02.02.01.05</t>
  </si>
  <si>
    <t>Outros Investimentos</t>
  </si>
  <si>
    <t>1.02.02.02</t>
  </si>
  <si>
    <t>Propriedades para Investimento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</si>
  <si>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</si>
  <si>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</si>
  <si>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</si>
  <si>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</si>
  <si>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</si>
  <si>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</si>
  <si>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</si>
  <si>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</si>
  <si>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</si>
  <si>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</si>
  <si>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</si>
  <si>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</si>
  <si>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</si>
  <si>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</si>
  <si>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1.02.04.02</t>
  </si>
  <si>
    <t>Goodwill</t>
  </si>
  <si>
    <t>2</t>
  </si>
  <si>
    <t>Passivo Total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</si>
  <si>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</si>
  <si>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</si>
  <si>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</si>
  <si>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</si>
  <si>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</si>
  <si>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</si>
  <si>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2.01.01.02</t>
  </si>
  <si>
    <t>Obrigações Trabalhistas</t>
  </si>
  <si>
    <t>2.01.02</t>
  </si>
  <si>
    <t>Fornecedores</t>
  </si>
  <si>
    <t>2.01.02.01</t>
  </si>
  <si>
    <t>Fornecedores Nacionais</t>
  </si>
  <si>
    <t>2.01.02.01.01</t>
  </si>
  <si>
    <t>2.01.02.01.02</t>
  </si>
  <si>
    <t>Fornecedores - Risco sacado</t>
  </si>
  <si>
    <t>Fornecedores - Acordos de financiamento</t>
  </si>
  <si>
    <t>2.01.02.02</t>
  </si>
  <si>
    <t>Fornecedores Estrangeiros</t>
  </si>
  <si>
    <t>2.01.02.02.01</t>
  </si>
  <si>
    <t>2.01.02.02.02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</si>
  <si>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</si>
  <si>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</si>
  <si>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</si>
  <si>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</si>
  <si>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</si>
  <si>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</si>
  <si>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2.01.03.01.02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</si>
  <si>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</si>
  <si>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</si>
  <si>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</si>
  <si>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</si>
  <si>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</si>
  <si>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</si>
  <si>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</si>
  <si>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</si>
  <si>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</si>
  <si>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</si>
  <si>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</si>
  <si>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</si>
  <si>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</si>
  <si>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</si>
  <si>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</si>
  <si>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</si>
  <si>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</si>
  <si>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</si>
  <si>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</si>
  <si>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</si>
  <si>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</si>
  <si>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</si>
  <si>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</si>
  <si>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</si>
  <si>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</si>
  <si>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</si>
  <si>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</si>
  <si>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</si>
  <si>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</si>
  <si>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</si>
  <si>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</si>
  <si>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</si>
  <si>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</si>
  <si>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Contas a Pagar</t>
  </si>
  <si>
    <t>2.01.05.02.05</t>
  </si>
  <si>
    <t>Contribuição de Parceiros</t>
  </si>
  <si>
    <t>2.01.05.02.06</t>
  </si>
  <si>
    <t>Dívidas com e sem direito de regresso</t>
  </si>
  <si>
    <t>2.01.05.02.07</t>
  </si>
  <si>
    <t>Adiantamento de Clientes</t>
  </si>
  <si>
    <t>2.01.05.02.08</t>
  </si>
  <si>
    <t>Contingências</t>
  </si>
  <si>
    <t>2.01.05.02.09</t>
  </si>
  <si>
    <t>Instrumentos Financeiros Derivativos</t>
  </si>
  <si>
    <t>2.01.05.02.10</t>
  </si>
  <si>
    <t>Receitas Diferidas</t>
  </si>
  <si>
    <t>2.01.05.02.11</t>
  </si>
  <si>
    <t>Garantia financeira e de valor residual</t>
  </si>
  <si>
    <t>2.01.05.02.12</t>
  </si>
  <si>
    <t>Passivos de contrato</t>
  </si>
  <si>
    <t>2.01.05.02.13</t>
  </si>
  <si>
    <t>Passivo de arrendamento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</si>
  <si>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</si>
  <si>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</si>
  <si>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</si>
  <si>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</si>
  <si>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</si>
  <si>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</si>
  <si>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</si>
  <si>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</si>
  <si>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</si>
  <si>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</si>
  <si>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</si>
  <si>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</si>
  <si>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</si>
  <si>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</si>
  <si>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</si>
  <si>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</si>
  <si>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</si>
  <si>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</si>
  <si>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</si>
  <si>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</si>
  <si>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2.01.06.02.04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</si>
  <si>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</si>
  <si>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</si>
  <si>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</si>
  <si>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</si>
  <si>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</si>
  <si>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</si>
  <si>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2.01.07.02.01</t>
  </si>
  <si>
    <t>Passivos mantidos para venda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</si>
  <si>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</si>
  <si>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</si>
  <si>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</si>
  <si>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</si>
  <si>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</si>
  <si>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</si>
  <si>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</si>
  <si>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</si>
  <si>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</si>
  <si>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</si>
  <si>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</si>
  <si>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</si>
  <si>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</si>
  <si>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</si>
  <si>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</si>
  <si>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</si>
  <si>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</si>
  <si>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</si>
  <si>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2.02.02.02.04</t>
  </si>
  <si>
    <t>2.02.02.02.05</t>
  </si>
  <si>
    <t>Dívidas com e sem Direito de Regresso</t>
  </si>
  <si>
    <t>2.02.02.02.06</t>
  </si>
  <si>
    <t>2.02.02.02.07</t>
  </si>
  <si>
    <t>Impostos e Encargos Sociais a Recolher</t>
  </si>
  <si>
    <t>2.02.02.02.08</t>
  </si>
  <si>
    <t>2.02.02.02.09</t>
  </si>
  <si>
    <t>2.02.02.02.10</t>
  </si>
  <si>
    <t>Provisões para Contingências</t>
  </si>
  <si>
    <t>2.02.02.02.11</t>
  </si>
  <si>
    <t>2.02.02.02.12</t>
  </si>
  <si>
    <t>2.02.02.02.13</t>
  </si>
  <si>
    <t>Imposto de renda e contribuição social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</si>
  <si>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</si>
  <si>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</si>
  <si>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</si>
  <si>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</si>
  <si>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</si>
  <si>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</si>
  <si>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</si>
  <si>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</si>
  <si>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</si>
  <si>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</si>
  <si>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</si>
  <si>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</si>
  <si>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</si>
  <si>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Provisão materiais de terceiros</t>
  </si>
  <si>
    <t>2.02.04.02.05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</si>
  <si>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</si>
  <si>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</si>
  <si>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</si>
  <si>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</si>
  <si>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</si>
  <si>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</si>
  <si>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</si>
  <si>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</si>
  <si>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</si>
  <si>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2.02.06.02.01</t>
  </si>
  <si>
    <t>Receitas diferidas</t>
  </si>
  <si>
    <t>2.02.06.03</t>
  </si>
  <si>
    <t>Subvenções de Investimento a Apropriar</t>
  </si>
  <si>
    <t>2.03</t>
  </si>
  <si>
    <t>Patrimônio Líquido Consolidado</t>
  </si>
  <si>
    <t>2.03.01</t>
  </si>
  <si>
    <t>Capital Social Realizado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</si>
  <si>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</si>
  <si>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</si>
  <si>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</si>
  <si>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</si>
  <si>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</si>
  <si>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</si>
  <si>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</si>
  <si>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</si>
  <si>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</si>
  <si>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</si>
  <si>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</si>
  <si>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</si>
  <si>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</si>
  <si>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</si>
  <si>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Remuneração baseada em ações</t>
  </si>
  <si>
    <t>2.03.02.08</t>
  </si>
  <si>
    <t>Resultado nas operações com acionistas não controladores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</si>
  <si>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</si>
  <si>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</si>
  <si>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</si>
  <si>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</si>
  <si>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</si>
  <si>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</si>
  <si>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</si>
  <si>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</si>
  <si>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</si>
  <si>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</si>
  <si>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</si>
  <si>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</si>
  <si>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</si>
  <si>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</si>
  <si>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</si>
  <si>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</si>
  <si>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</si>
  <si>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</si>
  <si>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</si>
  <si>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</si>
  <si>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</si>
  <si>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</si>
  <si>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Subvenção para Investimentos</t>
  </si>
  <si>
    <t>2.03.04.11</t>
  </si>
  <si>
    <t>Reservas para Investimentos e Capital de Giro</t>
  </si>
  <si>
    <t>2.03.04.12</t>
  </si>
  <si>
    <t>Remuneração Baseada em Ações</t>
  </si>
  <si>
    <t>2.03.04.13</t>
  </si>
  <si>
    <t>2.03.05</t>
  </si>
  <si>
    <t>Lucros/Prejuízos Acumulados</t>
  </si>
  <si>
    <t>2.03.06</t>
  </si>
  <si>
    <t>Ajustes de Avaliação Patrimonial</t>
  </si>
  <si>
    <t>2.03.06.01</t>
  </si>
  <si>
    <t>2.03.06.02</t>
  </si>
  <si>
    <t>Ganho (Perda) com benefícios pós-emprego</t>
  </si>
  <si>
    <t>Perda com benefícios pós-emprego</t>
  </si>
  <si>
    <t>2.03.06.03</t>
  </si>
  <si>
    <t>Ajustes acumulados de conversão</t>
  </si>
  <si>
    <t>2.03.06.04</t>
  </si>
  <si>
    <t>Instrumentos Financeiros</t>
  </si>
  <si>
    <t>2.03.07</t>
  </si>
  <si>
    <t>Ajustes Acumulados de Conversão</t>
  </si>
  <si>
    <t>2.03.08</t>
  </si>
  <si>
    <t>Outros Resultados Abrangentes</t>
  </si>
  <si>
    <t>2.03.09</t>
  </si>
  <si>
    <t>Participação dos Acionistas Não Controladores</t>
  </si>
  <si>
    <t xml:space="preserve">       DEMONSTRAÇÃO DE RESULTADO DO EXERCÍCIO</t>
  </si>
  <si>
    <t>3.01</t>
  </si>
  <si>
    <t>Receita de Venda de Bens e/ou Serviços</t>
  </si>
  <si>
    <t>3.02</t>
  </si>
  <si>
    <t>Custo dos Bens e/ou Serviços Vendidos</t>
  </si>
  <si>
    <t>3.03</t>
  </si>
  <si>
    <t>Resultado Bruto</t>
  </si>
  <si>
    <t>3.04</t>
  </si>
  <si>
    <t>Despesas/Receitas Operacionais</t>
  </si>
  <si>
    <t>3.04.01</t>
  </si>
  <si>
    <t>Despesas com Vendas</t>
  </si>
  <si>
    <t>3.04.02</t>
  </si>
  <si>
    <t>Despesas Gerais e Administrativas</t>
  </si>
  <si>
    <t>3.04.03</t>
  </si>
  <si>
    <t>Perdas pela Não Recuperabilidade de Ativos</t>
  </si>
  <si>
    <t>3.04.03.01</t>
  </si>
  <si>
    <t>Reversão (perda) de crédito esperada</t>
  </si>
  <si>
    <t>Reversão (perda) por redução ao valor recuperável de contas a receber e ativos de contrato</t>
  </si>
  <si>
    <t>Ganhos (perdas) líquidas sobre contas a receber e ativos de contrato</t>
  </si>
  <si>
    <t>3.04.04</t>
  </si>
  <si>
    <t>Outras Receitas Operacionais</t>
  </si>
  <si>
    <t>3.04.05</t>
  </si>
  <si>
    <t>Outras Despesas Operacionais</t>
  </si>
  <si>
    <t>3.04.05.01</t>
  </si>
  <si>
    <t>Pesquisa</t>
  </si>
  <si>
    <t>3.04.05.02</t>
  </si>
  <si>
    <t>Despesas Operacionais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</si>
  <si>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</si>
  <si>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</si>
  <si>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</si>
  <si>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</si>
  <si>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</si>
  <si>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</si>
  <si>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</si>
  <si>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</si>
  <si>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3.06.01.01</t>
  </si>
  <si>
    <t>Variações Monetárias Ativas</t>
  </si>
  <si>
    <t>3.06.01.02</t>
  </si>
  <si>
    <t>3.06.02</t>
  </si>
  <si>
    <t>Despesas Financeiras</t>
  </si>
  <si>
    <t>3.06.02.01</t>
  </si>
  <si>
    <t>Variações Monetárias Passivas</t>
  </si>
  <si>
    <t>3.06.02.02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</si>
  <si>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</si>
  <si>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</si>
  <si>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</si>
  <si>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</si>
  <si>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</si>
  <si>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</si>
  <si>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</si>
  <si>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</si>
  <si>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</si>
  <si>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</si>
  <si>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</si>
  <si>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</si>
  <si>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</si>
  <si>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</si>
  <si>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</si>
  <si>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</si>
  <si>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</si>
  <si>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</si>
  <si>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</si>
  <si>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</si>
  <si>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</si>
  <si>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</si>
  <si>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3.99</t>
  </si>
  <si>
    <t>Lucro por Ação - (Reais / Ação)</t>
  </si>
  <si>
    <t>3.99.01</t>
  </si>
  <si>
    <t>Lucro Básico por Ação</t>
  </si>
  <si>
    <t>3.99.01.01</t>
  </si>
  <si>
    <t>ON</t>
  </si>
  <si>
    <t>3.99.02</t>
  </si>
  <si>
    <t>Lucro Diluído por Ação</t>
  </si>
  <si>
    <t>3.99.02.01</t>
  </si>
  <si>
    <t xml:space="preserve">       DEMONSTRAÇÃO DO FLUXO DE CAIXA</t>
  </si>
  <si>
    <t>6.01</t>
  </si>
  <si>
    <t>Caixa Líquido Atividades Operacionais</t>
  </si>
  <si>
    <t>6.01.01</t>
  </si>
  <si>
    <t>Caixa Gerado nas Operações</t>
  </si>
  <si>
    <t>6.01.01.01</t>
  </si>
  <si>
    <t>Lucro (prejuízo) do exercício</t>
  </si>
  <si>
    <t>Lucro do exercício</t>
  </si>
  <si>
    <t>Lucro líquido (Prejuízo) do exercício</t>
  </si>
  <si>
    <t>6.01.01.02</t>
  </si>
  <si>
    <t>Depreciações do imobilizado e direito de uso</t>
  </si>
  <si>
    <t>Despesas com depreciação e amortização</t>
  </si>
  <si>
    <t>6.01.01.03</t>
  </si>
  <si>
    <t>Realização subsídios governamentais</t>
  </si>
  <si>
    <t>Amortizações do intangível</t>
  </si>
  <si>
    <t>6.01.01.04</t>
  </si>
  <si>
    <t>Realização contribuição de parceiros</t>
  </si>
  <si>
    <t>6.01.01.05</t>
  </si>
  <si>
    <t>Perda por obsolescência dos estoques</t>
  </si>
  <si>
    <t>Transação EVEX</t>
  </si>
  <si>
    <t>6.01.01.06</t>
  </si>
  <si>
    <t>Ajuste valor de mercado, inventário, imobilizado e intangível</t>
  </si>
  <si>
    <t>Ajuste valor justo, inventário, imobilizado e intangível</t>
  </si>
  <si>
    <t>Perda (ganho) na participação acionária</t>
  </si>
  <si>
    <t>6.01.01.07</t>
  </si>
  <si>
    <t>Reversão por redução ao valor recuperável dos estoques</t>
  </si>
  <si>
    <t>Perda (reversão) por redução ao valor recuperável dos estoques</t>
  </si>
  <si>
    <t>Ajuste valor justo - ativos financeiros</t>
  </si>
  <si>
    <t>Ajuste valor de mercado - ativos financeiros</t>
  </si>
  <si>
    <t>6.01.01.08</t>
  </si>
  <si>
    <t>Provisão (reversão) de perdas de crédito esperadas</t>
  </si>
  <si>
    <t>Reversão (perda) por redução ao valor recuperável de contas a receber, financiamento a clientes e at</t>
  </si>
  <si>
    <t>6.01.01.09</t>
  </si>
  <si>
    <t>(Reversão) perda de crédito esperada</t>
  </si>
  <si>
    <t>Imposto de renda e contribuição social diferidos</t>
  </si>
  <si>
    <t>Perda (reversão) de crédito esperada</t>
  </si>
  <si>
    <t>6.01.01.10</t>
  </si>
  <si>
    <t>Juros sobre empréstimos</t>
  </si>
  <si>
    <t>Perda (ganho) na alienação de ativo permanente</t>
  </si>
  <si>
    <t>6.01.01.11</t>
  </si>
  <si>
    <t>Equivalência Patrimonial</t>
  </si>
  <si>
    <t>6.01.01.12</t>
  </si>
  <si>
    <t>Remuneração em ações</t>
  </si>
  <si>
    <t>6.01.01.13</t>
  </si>
  <si>
    <t>Variação monetária e cambial</t>
  </si>
  <si>
    <t>Juros sobre títulos e valores mobiliários</t>
  </si>
  <si>
    <t>6.01.01.14</t>
  </si>
  <si>
    <t>Equivalência patrimonial</t>
  </si>
  <si>
    <t>Marcação a mercado das garantias de valor residual</t>
  </si>
  <si>
    <t>6.01.01.15</t>
  </si>
  <si>
    <t>Ganho (perda) na alienação de ativo permanente</t>
  </si>
  <si>
    <t>Provisão para penalidades</t>
  </si>
  <si>
    <t>6.01.01.16</t>
  </si>
  <si>
    <t>Juros sobre Títulos e Valores Mobiliários, Líquidos</t>
  </si>
  <si>
    <t>Perda na alienação de ativo permanente</t>
  </si>
  <si>
    <t>Provisões diversas</t>
  </si>
  <si>
    <t>6.01.01.17</t>
  </si>
  <si>
    <t>Juros sobre títulos e valores mobiliários, líquidos</t>
  </si>
  <si>
    <t>Participação dos não-controladores</t>
  </si>
  <si>
    <t>Realização Subsídios Governamentais</t>
  </si>
  <si>
    <t>6.01.01.18</t>
  </si>
  <si>
    <t>Provisões Diversas</t>
  </si>
  <si>
    <t>6.01.01.19</t>
  </si>
  <si>
    <t>Participação dos não-controladores e Ganho e perda na participação acionária</t>
  </si>
  <si>
    <t>6.01.01.20</t>
  </si>
  <si>
    <t>6.01.02</t>
  </si>
  <si>
    <t>Variações nos Ativos e Passivos</t>
  </si>
  <si>
    <t>6.01.02.01</t>
  </si>
  <si>
    <t>Investimentos financeiros</t>
  </si>
  <si>
    <t>6.01.02.02</t>
  </si>
  <si>
    <t>6.01.02.03</t>
  </si>
  <si>
    <t>Contas a receber e contas a receber vinculadas</t>
  </si>
  <si>
    <t>6.01.02.04</t>
  </si>
  <si>
    <t>6.01.02.05</t>
  </si>
  <si>
    <t>6.01.02.06</t>
  </si>
  <si>
    <t>6.01.02.07</t>
  </si>
  <si>
    <t>Depósitos em Garantia</t>
  </si>
  <si>
    <t>6.01.02.08</t>
  </si>
  <si>
    <t>Fornecedores e Fornecedores - Risco Sacado</t>
  </si>
  <si>
    <t>Fornecedores e Fornecedores - Acordos de financiamento</t>
  </si>
  <si>
    <t>6.01.02.09</t>
  </si>
  <si>
    <t>Contas a pagar</t>
  </si>
  <si>
    <t>6.01.02.10</t>
  </si>
  <si>
    <t>6.01.02.11</t>
  </si>
  <si>
    <t>Dívida com e sem Direito de Regresso</t>
  </si>
  <si>
    <t>Impostos a recolher</t>
  </si>
  <si>
    <t>6.01.02.12</t>
  </si>
  <si>
    <t>Garantias financeiras</t>
  </si>
  <si>
    <t>6.01.02.13</t>
  </si>
  <si>
    <t>Contribuição de parceiros</t>
  </si>
  <si>
    <t>6.01.02.14</t>
  </si>
  <si>
    <t>Adiantamentos de clientes</t>
  </si>
  <si>
    <t>IR e CS pagos</t>
  </si>
  <si>
    <t>Impostos a Recolher</t>
  </si>
  <si>
    <t>6.01.02.15</t>
  </si>
  <si>
    <t>Garantias Financeiras</t>
  </si>
  <si>
    <t>Juros pagos</t>
  </si>
  <si>
    <t>6.01.02.16</t>
  </si>
  <si>
    <t>6.01.02.17</t>
  </si>
  <si>
    <t>Passivos de Contrato</t>
  </si>
  <si>
    <t>6.01.02.18</t>
  </si>
  <si>
    <t>6.01.02.19</t>
  </si>
  <si>
    <t>6.01.03</t>
  </si>
  <si>
    <t>6.02</t>
  </si>
  <si>
    <t>Caixa Líquido Atividades de Investimento</t>
  </si>
  <si>
    <t>6.02.01</t>
  </si>
  <si>
    <t>Aquisições de imobilizado</t>
  </si>
  <si>
    <t>6.02.02</t>
  </si>
  <si>
    <t>Baixa de imobilizado</t>
  </si>
  <si>
    <t>6.02.03</t>
  </si>
  <si>
    <t>Adições ao intangível</t>
  </si>
  <si>
    <t>6.02.04</t>
  </si>
  <si>
    <t>Adições investimentos em subsidiárias e coligadas</t>
  </si>
  <si>
    <t>Adições investimentos em subsidiárias e coligadas, líquido do caixa adquirido</t>
  </si>
  <si>
    <t>6.02.05</t>
  </si>
  <si>
    <t>Aquisição de subsidiária líquido do caixa adquirido</t>
  </si>
  <si>
    <t>Baixa investimentos em subsidiárias e coligadas</t>
  </si>
  <si>
    <t>Investimentos Financeiros</t>
  </si>
  <si>
    <t>6.02.06</t>
  </si>
  <si>
    <t>Caixa Restrito para Construção de Ativos</t>
  </si>
  <si>
    <t>Aquisição de investimentos financeiros</t>
  </si>
  <si>
    <t>6.02.07</t>
  </si>
  <si>
    <t>Alienação de investimento</t>
  </si>
  <si>
    <t>Alienação de investimentos financeiros</t>
  </si>
  <si>
    <t>6.02.08</t>
  </si>
  <si>
    <t>Alteração na participação em subsidiárias e coligadas</t>
  </si>
  <si>
    <t>Dividendos Recebidos</t>
  </si>
  <si>
    <t>Emprestimos concedidos</t>
  </si>
  <si>
    <t>6.02.09</t>
  </si>
  <si>
    <t>Dividendos recebidos</t>
  </si>
  <si>
    <t>Recebimento (concessão) de empréstimos</t>
  </si>
  <si>
    <t>6.02.10</t>
  </si>
  <si>
    <t>6.03</t>
  </si>
  <si>
    <t>Caixa Líquido Atividades de Financiamento</t>
  </si>
  <si>
    <t>6.03.01</t>
  </si>
  <si>
    <t>Novos financiamentos obtidos</t>
  </si>
  <si>
    <t>Empréstimos obtidos</t>
  </si>
  <si>
    <t>6.03.02</t>
  </si>
  <si>
    <t>Financiamentos pagos</t>
  </si>
  <si>
    <t>6.03.03</t>
  </si>
  <si>
    <t>Aumento de capital</t>
  </si>
  <si>
    <t>Dividendos e juros sobre capital próprio</t>
  </si>
  <si>
    <t>Recebimento na oferta de ações de controlada</t>
  </si>
  <si>
    <t>6.03.04</t>
  </si>
  <si>
    <t>Custos na oferta de ações de controlada</t>
  </si>
  <si>
    <t>Recebimento de opções de ações exercidas</t>
  </si>
  <si>
    <t>6.03.05</t>
  </si>
  <si>
    <t>Recompra de ações</t>
  </si>
  <si>
    <t>6.03.06</t>
  </si>
  <si>
    <t>Pagamentos de arrendamentos</t>
  </si>
  <si>
    <t>6.03.07</t>
  </si>
  <si>
    <t>6.04</t>
  </si>
  <si>
    <t>Variação Cambial s/ 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</si>
  <si>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</si>
  <si>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</si>
  <si>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</si>
  <si>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</si>
  <si>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</si>
  <si>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</si>
  <si>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INDICADORES - índices não circulante</t>
  </si>
  <si>
    <t>Endividamento Total</t>
  </si>
  <si>
    <t>Independência Financeira (%)</t>
  </si>
  <si>
    <t>Capital Terceiros LP</t>
  </si>
  <si>
    <t>Imobilização Capital Permanente</t>
  </si>
  <si>
    <t>Imobilização PL</t>
  </si>
  <si>
    <t>Imobilização Recursos Não Correntes</t>
  </si>
  <si>
    <t>Giro do Imobilizado</t>
  </si>
  <si>
    <t>Composição Endividamento (%)</t>
  </si>
  <si>
    <t>Composição Endividamento LP (%)</t>
  </si>
  <si>
    <t>Participação ANC no Ativo (%)</t>
  </si>
  <si>
    <t>Margem Operacional (%)</t>
  </si>
  <si>
    <t>Margem Líquida (%)</t>
  </si>
  <si>
    <t>ROA (%)</t>
  </si>
  <si>
    <t>ROE (%)</t>
  </si>
  <si>
    <t>GAO (Alavancagem Operacional)</t>
  </si>
  <si>
    <t>GAF (Alavancagem Financeira)</t>
  </si>
  <si>
    <t>GAT (Alavancagem Total)</t>
  </si>
  <si>
    <t>Var. % Receita</t>
  </si>
  <si>
    <t>Var. % EBIT</t>
  </si>
  <si>
    <t>Var. % Lucro Líquido</t>
  </si>
  <si>
    <t>INDICADORES - análise de CP</t>
  </si>
  <si>
    <t>ANO (indicadores com * expressos em milhares de reais)</t>
  </si>
  <si>
    <t>Métrica</t>
  </si>
  <si>
    <t>Interpretação</t>
  </si>
  <si>
    <t>Liquidez Geral</t>
  </si>
  <si>
    <r>
      <rPr>
        <rFont val="Calibri"/>
        <b/>
        <color theme="1"/>
        <sz val="11.0"/>
      </rPr>
      <t>Liquidez Corrente</t>
    </r>
    <r>
      <rPr>
        <rFont val="Calibri"/>
        <color theme="1"/>
        <sz val="11.0"/>
      </rPr>
      <t xml:space="preserve"> (ideal &gt; 1.5)</t>
    </r>
  </si>
  <si>
    <t>Capacidade de pagar dívidas de curto prazo</t>
  </si>
  <si>
    <t>Liquidez Imediata</t>
  </si>
  <si>
    <r>
      <rPr>
        <rFont val="Calibri"/>
        <b/>
        <color theme="1"/>
        <sz val="11.0"/>
      </rPr>
      <t>Liquidez Seca</t>
    </r>
    <r>
      <rPr>
        <rFont val="Calibri"/>
        <color theme="1"/>
        <sz val="11.0"/>
      </rPr>
      <t xml:space="preserve"> (ideal &gt; 1.0)</t>
    </r>
  </si>
  <si>
    <t>Capacidade sem considerar estoques</t>
  </si>
  <si>
    <t>Liquidez Seca</t>
  </si>
  <si>
    <r>
      <rPr>
        <rFont val="Calibri"/>
        <b/>
        <color theme="1"/>
        <sz val="11.0"/>
      </rPr>
      <t>Liquidez Imediata</t>
    </r>
    <r>
      <rPr>
        <rFont val="Calibri"/>
        <color theme="1"/>
        <sz val="11.0"/>
      </rPr>
      <t xml:space="preserve"> (ideal &gt; 0.2)</t>
    </r>
  </si>
  <si>
    <t>Capacidade imediata de pagamento</t>
  </si>
  <si>
    <t>Liquidez Corrente</t>
  </si>
  <si>
    <r>
      <rPr>
        <rFont val="Calibri"/>
        <b/>
        <color theme="1"/>
        <sz val="11.0"/>
      </rPr>
      <t>CCL</t>
    </r>
    <r>
      <rPr>
        <rFont val="Calibri"/>
        <color theme="1"/>
        <sz val="11.0"/>
      </rPr>
      <t xml:space="preserve"> (ideal &gt; 0)</t>
    </r>
  </si>
  <si>
    <t>Excedente de ativos circulantes</t>
  </si>
  <si>
    <t>CCL (AC - PC)*</t>
  </si>
  <si>
    <r>
      <rPr>
        <rFont val="Calibri"/>
        <b/>
        <color theme="1"/>
        <sz val="11.0"/>
      </rPr>
      <t>Saldo Tesouraria</t>
    </r>
    <r>
      <rPr>
        <rFont val="Calibri"/>
        <color theme="1"/>
        <sz val="11.0"/>
      </rPr>
      <t xml:space="preserve"> (ideal &gt; 0)</t>
    </r>
  </si>
  <si>
    <t>Folga financeira imediata</t>
  </si>
  <si>
    <t>NCG*</t>
  </si>
  <si>
    <t>Saldo Tesouraria (ST)*</t>
  </si>
  <si>
    <t>% Disponível/AC</t>
  </si>
  <si>
    <t>% Aplicações/AC</t>
  </si>
  <si>
    <t>% Contas Receber/AC</t>
  </si>
  <si>
    <t>% Estoques/AC</t>
  </si>
  <si>
    <t>% Empréstimos/PC</t>
  </si>
  <si>
    <t>% Fornecedores/PC</t>
  </si>
  <si>
    <t>% Obrigações Trabalhistas/PC</t>
  </si>
  <si>
    <t>Análise Detalhada do Efeito Tesoura</t>
  </si>
  <si>
    <t>2020:</t>
  </si>
  <si>
    <t>CCL: R$ 24,465,118.76</t>
  </si>
  <si>
    <t>NCG: R$ 13,523,549.34</t>
  </si>
  <si>
    <t>GAP (CCL-NCG): R$ 10,941,569.43</t>
  </si>
  <si>
    <t>Situação: SITUAÇÃO CONFORTÁVEL - CCL &gt; NCG</t>
  </si>
  <si>
    <t>Recomendação: Empresa com boa saúde financeira, CCL cobre NCG</t>
  </si>
  <si>
    <t>2021:</t>
  </si>
  <si>
    <t>CCL: R$ 19,688,354.09</t>
  </si>
  <si>
    <t>NCG: R$ 10,096,719.09</t>
  </si>
  <si>
    <t>GAP (CCL-NCG): R$ 9,591,635.00</t>
  </si>
  <si>
    <t>2022:</t>
  </si>
  <si>
    <t>CCL: R$ 14,502,530.98</t>
  </si>
  <si>
    <t>NCG: R$ 9,488,128.31</t>
  </si>
  <si>
    <t>GAP (CCL-NCG): R$ 5,014,402.67</t>
  </si>
  <si>
    <t>2023:</t>
  </si>
  <si>
    <t>CCL: R$ 12,104,573.76</t>
  </si>
  <si>
    <t>NCG: R$ 9,113,247.33</t>
  </si>
  <si>
    <t>GAP (CCL-NCG): R$ 2,991,326.43</t>
  </si>
  <si>
    <t>2024:</t>
  </si>
  <si>
    <t>CCL: R$ 12,979,890.00</t>
  </si>
  <si>
    <t>NCG: R$ 12,935,927.00</t>
  </si>
  <si>
    <t>GAP (CCL-NCG): R$ 43,963.00</t>
  </si>
  <si>
    <t>CICLOS E PRAZOS</t>
  </si>
  <si>
    <t>ANO (valores em dias)</t>
  </si>
  <si>
    <t>PME (Estocagem)</t>
  </si>
  <si>
    <t>PMR (Recebimento)</t>
  </si>
  <si>
    <t>PMP (Pagamento)</t>
  </si>
  <si>
    <t>Ciclo Operacional</t>
  </si>
  <si>
    <t>Ciclo Financeiro</t>
  </si>
  <si>
    <t>ANÁLISE VERTICAL E HORIZONTAL DO BALANÇO DE PAGAMENTOS - EMBRAER S.A.</t>
  </si>
  <si>
    <t>AV 2020 (%)</t>
  </si>
  <si>
    <t>AV 2021 (%)</t>
  </si>
  <si>
    <t>AH 2021 (%)</t>
  </si>
  <si>
    <t>AV 2022 (%)</t>
  </si>
  <si>
    <t>AH 2022 (%)</t>
  </si>
  <si>
    <t>AV 2023 (%)</t>
  </si>
  <si>
    <t>AH 2023 (%)</t>
  </si>
  <si>
    <t>AV 2024 (%)</t>
  </si>
  <si>
    <t>AH 2024 (%)</t>
  </si>
  <si>
    <t>ANÁLISE VERTICAL E HORIZONTAL DO DRE - EMBRAER S.A.</t>
  </si>
  <si>
    <r>
      <rPr>
        <rFont val="Calibri, sans-serif"/>
        <b/>
        <color rgb="FF000000"/>
        <sz val="11.0"/>
      </rPr>
      <t>(=)</t>
    </r>
    <r>
      <rPr>
        <rFont val="Calibri, sans-serif"/>
        <b/>
        <color rgb="FF000000"/>
        <sz val="11.0"/>
      </rPr>
      <t xml:space="preserve"> Receita Líquida de Vendas</t>
    </r>
  </si>
  <si>
    <r>
      <rPr>
        <rFont val="Calibri, sans-serif"/>
        <b/>
        <color rgb="FF000000"/>
        <sz val="11.0"/>
      </rPr>
      <t>(-)</t>
    </r>
    <r>
      <rPr>
        <rFont val="Calibri, sans-serif"/>
        <color rgb="FF000000"/>
        <sz val="11.0"/>
      </rPr>
      <t xml:space="preserve"> Custo dos Bens</t>
    </r>
  </si>
  <si>
    <r>
      <rPr>
        <rFont val="Calibri, sans-serif"/>
        <b/>
        <color rgb="FF000000"/>
        <sz val="11.0"/>
      </rPr>
      <t xml:space="preserve">(+) </t>
    </r>
    <r>
      <rPr>
        <rFont val="Calibri, sans-serif"/>
        <color rgb="FF000000"/>
        <sz val="11.0"/>
      </rPr>
      <t>Despesas/Receitas Operacionais</t>
    </r>
  </si>
  <si>
    <t xml:space="preserve">    Despesas com Vendas</t>
  </si>
  <si>
    <t xml:space="preserve">    Despesas Gerais e Administrativas</t>
  </si>
  <si>
    <t xml:space="preserve">    Outras Receitas Operacionais</t>
  </si>
  <si>
    <t xml:space="preserve">    Outras Despesas Operacionais</t>
  </si>
  <si>
    <t xml:space="preserve">    Resultado de Equivalência Patrimonial</t>
  </si>
  <si>
    <r>
      <rPr>
        <rFont val="Calibri, sans-serif"/>
        <b/>
        <color rgb="FF000000"/>
        <sz val="11.0"/>
      </rPr>
      <t xml:space="preserve"> (=) </t>
    </r>
    <r>
      <rPr>
        <rFont val="Calibri, sans-serif"/>
        <b/>
        <color rgb="FF000000"/>
        <sz val="11.0"/>
      </rPr>
      <t>Resultado Financeiro</t>
    </r>
  </si>
  <si>
    <t xml:space="preserve">    Receitas Financeiras</t>
  </si>
  <si>
    <t xml:space="preserve">    Despesas Financeiras</t>
  </si>
  <si>
    <r>
      <rPr>
        <rFont val="Calibri, sans-serif"/>
        <b/>
        <color rgb="FF000000"/>
        <sz val="11.0"/>
      </rPr>
      <t>(=)</t>
    </r>
    <r>
      <rPr>
        <rFont val="Calibri, sans-serif"/>
        <b/>
        <color rgb="FF000000"/>
        <sz val="11.0"/>
      </rPr>
      <t xml:space="preserve"> Resultado Antes dos Tributos sobre o Lucro</t>
    </r>
  </si>
  <si>
    <r>
      <rPr>
        <rFont val="Calibri, sans-serif"/>
        <b/>
        <color rgb="FF000000"/>
        <sz val="11.0"/>
      </rPr>
      <t xml:space="preserve">(-) </t>
    </r>
    <r>
      <rPr>
        <rFont val="Calibri, sans-serif"/>
        <color rgb="FF000000"/>
        <sz val="11.0"/>
      </rPr>
      <t>Imposto de Renda e Contribuição Social sobre o Lucro</t>
    </r>
  </si>
  <si>
    <t>(=) Lucro/Prejuízo Consolidado do Período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</si>
</sst>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[$R$ -416]#,##0.00"/>
  </numFmts>
  <fonts count="12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u/>
      <sz val="12.0"/>
      <color rgb="FF000000"/>
    </font>
    <font>
      <b/>
      <color rgb="FF000000"/>
      <name val="Calibri"/>
      <scheme val="minor"/>
    </font>
    <font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2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1" fillId="2" fontId="2" numFmtId="0" xfId="0" applyAlignment="1" applyBorder="1" applyFont="1">
      <alignment horizontal="center" readingOrder="0" vertical="top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top"/>
    </xf>
    <xf borderId="4" fillId="2" fontId="2" numFmtId="0" xfId="0" applyBorder="1" applyFont="1"/>
    <xf borderId="4" fillId="0" fontId="2" numFmtId="4" xfId="0" applyBorder="1" applyFont="1" applyNumberFormat="1"/>
    <xf borderId="4" fillId="2" fontId="4" numFmtId="0" xfId="0" applyBorder="1" applyFont="1"/>
    <xf borderId="4" fillId="0" fontId="4" numFmtId="4" xfId="0" applyBorder="1" applyFont="1" applyNumberFormat="1"/>
    <xf borderId="4" fillId="2" fontId="0" numFmtId="0" xfId="0" applyBorder="1" applyFont="1"/>
    <xf borderId="0" fillId="0" fontId="4" numFmtId="0" xfId="0" applyFont="1"/>
    <xf borderId="1" fillId="2" fontId="1" numFmtId="0" xfId="0" applyAlignment="1" applyBorder="1" applyFont="1">
      <alignment horizontal="left" readingOrder="0" vertical="top"/>
    </xf>
    <xf borderId="4" fillId="2" fontId="2" numFmtId="0" xfId="0" applyAlignment="1" applyBorder="1" applyFont="1">
      <alignment horizontal="center" readingOrder="0" vertical="top"/>
    </xf>
    <xf borderId="0" fillId="0" fontId="4" numFmtId="4" xfId="0" applyFont="1" applyNumberFormat="1"/>
    <xf borderId="4" fillId="2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horizontal="left" vertical="top"/>
    </xf>
    <xf borderId="4" fillId="2" fontId="5" numFmtId="0" xfId="0" applyAlignment="1" applyBorder="1" applyFont="1">
      <alignment horizontal="center" readingOrder="0" vertical="top"/>
    </xf>
    <xf borderId="5" fillId="2" fontId="5" numFmtId="0" xfId="0" applyAlignment="1" applyBorder="1" applyFont="1">
      <alignment horizontal="left" readingOrder="0" vertical="top"/>
    </xf>
    <xf borderId="5" fillId="3" fontId="6" numFmtId="2" xfId="0" applyAlignment="1" applyBorder="1" applyFill="1" applyFont="1" applyNumberFormat="1">
      <alignment horizontal="right" readingOrder="0" vertical="bottom"/>
    </xf>
    <xf borderId="5" fillId="0" fontId="6" numFmtId="2" xfId="0" applyAlignment="1" applyBorder="1" applyFont="1" applyNumberFormat="1">
      <alignment horizontal="right" readingOrder="0" vertical="bottom"/>
    </xf>
    <xf borderId="0" fillId="0" fontId="4" numFmtId="2" xfId="0" applyFont="1" applyNumberFormat="1"/>
    <xf borderId="6" fillId="2" fontId="5" numFmtId="0" xfId="0" applyAlignment="1" applyBorder="1" applyFont="1">
      <alignment horizontal="left" readingOrder="0" vertical="top"/>
    </xf>
    <xf borderId="6" fillId="0" fontId="6" numFmtId="2" xfId="0" applyAlignment="1" applyBorder="1" applyFont="1" applyNumberFormat="1">
      <alignment horizontal="right" readingOrder="0" vertical="bottom"/>
    </xf>
    <xf borderId="7" fillId="2" fontId="5" numFmtId="0" xfId="0" applyAlignment="1" applyBorder="1" applyFont="1">
      <alignment horizontal="left" readingOrder="0" vertical="top"/>
    </xf>
    <xf borderId="7" fillId="0" fontId="6" numFmtId="2" xfId="0" applyAlignment="1" applyBorder="1" applyFont="1" applyNumberFormat="1">
      <alignment horizontal="right" readingOrder="0" vertical="bottom"/>
    </xf>
    <xf borderId="4" fillId="2" fontId="5" numFmtId="0" xfId="0" applyAlignment="1" applyBorder="1" applyFont="1">
      <alignment horizontal="left" readingOrder="0" vertical="top"/>
    </xf>
    <xf borderId="4" fillId="0" fontId="6" numFmtId="2" xfId="0" applyAlignment="1" applyBorder="1" applyFont="1" applyNumberFormat="1">
      <alignment horizontal="right" readingOrder="0" vertical="bottom"/>
    </xf>
    <xf borderId="4" fillId="3" fontId="6" numFmtId="2" xfId="0" applyAlignment="1" applyBorder="1" applyFont="1" applyNumberFormat="1">
      <alignment horizontal="right" readingOrder="0" vertical="bottom"/>
    </xf>
    <xf borderId="1" fillId="2" fontId="5" numFmtId="0" xfId="0" applyAlignment="1" applyBorder="1" applyFont="1">
      <alignment horizontal="left" readingOrder="0" vertical="top"/>
    </xf>
    <xf borderId="6" fillId="0" fontId="4" numFmtId="2" xfId="0" applyAlignment="1" applyBorder="1" applyFont="1" applyNumberFormat="1">
      <alignment readingOrder="0"/>
    </xf>
    <xf borderId="6" fillId="0" fontId="4" numFmtId="2" xfId="0" applyBorder="1" applyFont="1" applyNumberFormat="1"/>
    <xf borderId="4" fillId="2" fontId="5" numFmtId="0" xfId="0" applyAlignment="1" applyBorder="1" applyFont="1">
      <alignment horizontal="center" vertical="top"/>
    </xf>
    <xf borderId="8" fillId="2" fontId="5" numFmtId="0" xfId="0" applyAlignment="1" applyBorder="1" applyFont="1">
      <alignment horizontal="left" vertical="top"/>
    </xf>
    <xf borderId="4" fillId="0" fontId="6" numFmtId="164" xfId="0" applyAlignment="1" applyBorder="1" applyFont="1" applyNumberFormat="1">
      <alignment horizontal="right" readingOrder="0" vertical="bottom"/>
    </xf>
    <xf borderId="8" fillId="0" fontId="6" numFmtId="0" xfId="0" applyAlignment="1" applyBorder="1" applyFont="1">
      <alignment readingOrder="0" vertical="bottom"/>
    </xf>
    <xf borderId="8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4" xfId="0" applyAlignment="1" applyBorder="1" applyFont="1" applyNumberFormat="1">
      <alignment horizontal="right" vertical="bottom"/>
    </xf>
    <xf borderId="8" fillId="2" fontId="7" numFmtId="0" xfId="0" applyAlignment="1" applyBorder="1" applyFont="1">
      <alignment horizontal="left" readingOrder="0" shrinkToFit="0" wrapText="1"/>
    </xf>
    <xf borderId="8" fillId="4" fontId="8" numFmtId="0" xfId="0" applyAlignment="1" applyBorder="1" applyFill="1" applyFont="1">
      <alignment horizontal="left" readingOrder="0" shrinkToFit="0" wrapText="1"/>
    </xf>
    <xf borderId="8" fillId="5" fontId="9" numFmtId="0" xfId="0" applyAlignment="1" applyBorder="1" applyFill="1" applyFont="1">
      <alignment horizontal="left" readingOrder="0" shrinkToFit="0" wrapText="1"/>
    </xf>
    <xf borderId="8" fillId="2" fontId="10" numFmtId="0" xfId="0" applyAlignment="1" applyBorder="1" applyFont="1">
      <alignment readingOrder="0" shrinkToFit="0" vertical="bottom" wrapText="0"/>
    </xf>
    <xf borderId="9" fillId="2" fontId="2" numFmtId="0" xfId="0" applyAlignment="1" applyBorder="1" applyFont="1">
      <alignment horizontal="center" readingOrder="0" vertical="top"/>
    </xf>
    <xf borderId="10" fillId="0" fontId="3" numFmtId="0" xfId="0" applyBorder="1" applyFont="1"/>
    <xf borderId="11" fillId="0" fontId="3" numFmtId="0" xfId="0" applyBorder="1" applyFont="1"/>
    <xf borderId="0" fillId="0" fontId="2" numFmtId="0" xfId="0" applyFont="1"/>
    <xf borderId="8" fillId="2" fontId="10" numFmtId="0" xfId="0" applyAlignment="1" applyBorder="1" applyFont="1">
      <alignment shrinkToFit="0" vertical="bottom" wrapText="0"/>
    </xf>
    <xf borderId="8" fillId="2" fontId="5" numFmtId="0" xfId="0" applyAlignment="1" applyBorder="1" applyFont="1">
      <alignment horizontal="center" readingOrder="0" shrinkToFit="0" vertical="top" wrapText="0"/>
    </xf>
    <xf borderId="8" fillId="2" fontId="5" numFmtId="0" xfId="0" applyAlignment="1" applyBorder="1" applyFont="1">
      <alignment horizontal="left" readingOrder="0" shrinkToFit="0" vertical="top" wrapText="0"/>
    </xf>
    <xf borderId="8" fillId="0" fontId="11" numFmtId="1" xfId="0" applyAlignment="1" applyBorder="1" applyFont="1" applyNumberFormat="1">
      <alignment horizontal="right" readingOrder="0" shrinkToFit="0" vertical="bottom" wrapText="0"/>
    </xf>
    <xf borderId="0" fillId="6" fontId="5" numFmtId="0" xfId="0" applyAlignment="1" applyFill="1" applyFont="1">
      <alignment horizontal="left" readingOrder="0" shrinkToFit="0" vertical="top" wrapText="0"/>
    </xf>
    <xf borderId="0" fillId="6" fontId="5" numFmtId="0" xfId="0" applyAlignment="1" applyFont="1">
      <alignment horizontal="center" readingOrder="0" shrinkToFit="0" vertical="top" wrapText="0"/>
    </xf>
    <xf borderId="8" fillId="6" fontId="5" numFmtId="0" xfId="0" applyAlignment="1" applyBorder="1" applyFont="1">
      <alignment horizontal="center" readingOrder="0" shrinkToFit="0" vertical="top" wrapText="0"/>
    </xf>
    <xf borderId="8" fillId="6" fontId="10" numFmtId="0" xfId="0" applyAlignment="1" applyBorder="1" applyFont="1">
      <alignment readingOrder="0" shrinkToFit="0" vertical="bottom" wrapText="0"/>
    </xf>
    <xf borderId="8" fillId="0" fontId="10" numFmtId="4" xfId="0" applyAlignment="1" applyBorder="1" applyFont="1" applyNumberFormat="1">
      <alignment horizontal="right" readingOrder="0" shrinkToFit="0" vertical="bottom" wrapText="0"/>
    </xf>
    <xf borderId="8" fillId="0" fontId="10" numFmtId="0" xfId="0" applyAlignment="1" applyBorder="1" applyFont="1">
      <alignment horizontal="right" readingOrder="0" shrinkToFit="0" vertical="bottom" wrapText="0"/>
    </xf>
    <xf borderId="8" fillId="6" fontId="11" numFmtId="0" xfId="0" applyAlignment="1" applyBorder="1" applyFont="1">
      <alignment readingOrder="0" shrinkToFit="0" vertical="bottom" wrapText="0"/>
    </xf>
    <xf borderId="8" fillId="0" fontId="11" numFmtId="4" xfId="0" applyAlignment="1" applyBorder="1" applyFont="1" applyNumberFormat="1">
      <alignment horizontal="right" readingOrder="0" shrinkToFit="0" vertical="bottom" wrapText="0"/>
    </xf>
    <xf borderId="8" fillId="0" fontId="11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11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6" fontId="10" numFmtId="0" xfId="0" applyAlignment="1" applyFont="1">
      <alignment readingOrder="0" shrinkToFit="0" vertical="bottom" wrapText="0"/>
    </xf>
    <xf borderId="0" fillId="6" fontId="11" numFmtId="0" xfId="0" applyAlignment="1" applyFont="1">
      <alignment horizontal="right" readingOrder="0" shrinkToFit="0" vertical="bottom" wrapText="0"/>
    </xf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3</xdr:row>
      <xdr:rowOff>-142875</xdr:rowOff>
    </xdr:from>
    <xdr:ext cx="6829425" cy="5438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8</xdr:row>
      <xdr:rowOff>95250</xdr:rowOff>
    </xdr:from>
    <xdr:ext cx="5029200" cy="29622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8</xdr:row>
      <xdr:rowOff>76200</xdr:rowOff>
    </xdr:from>
    <xdr:ext cx="5029200" cy="30099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eduardajustino/Analise-das-Demonstracoes-Contabeis---Embraer-S.A./blob/main/An%C3%A1lise%20de%20CP%20e%20Efeito%20Tesoura.ipynb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76.14"/>
    <col customWidth="1" min="3" max="3" width="15.29"/>
    <col customWidth="1" min="4" max="4" width="15.43"/>
    <col customWidth="1" min="5" max="5" width="16.14"/>
    <col customWidth="1" min="6" max="6" width="15.86"/>
    <col customWidth="1" min="7" max="7" width="15.14"/>
    <col customWidth="1" min="8" max="26" width="8.71"/>
  </cols>
  <sheetData>
    <row r="1">
      <c r="A1" s="1" t="s">
        <v>0</v>
      </c>
      <c r="C1" s="2" t="s">
        <v>1</v>
      </c>
      <c r="D1" s="3"/>
      <c r="E1" s="3"/>
      <c r="F1" s="3"/>
      <c r="G1" s="4"/>
    </row>
    <row r="2">
      <c r="A2" s="5" t="s">
        <v>2</v>
      </c>
      <c r="B2" s="5" t="s">
        <v>3</v>
      </c>
      <c r="C2" s="5">
        <v>2020.0</v>
      </c>
      <c r="D2" s="5">
        <v>2021.0</v>
      </c>
      <c r="E2" s="5">
        <v>2022.0</v>
      </c>
      <c r="F2" s="5">
        <v>2023.0</v>
      </c>
      <c r="G2" s="5">
        <v>2024.0</v>
      </c>
    </row>
    <row r="3">
      <c r="A3" s="6" t="s">
        <v>4</v>
      </c>
      <c r="B3" s="6" t="s">
        <v>5</v>
      </c>
      <c r="C3" s="7">
        <v>6.969104731552862E7</v>
      </c>
      <c r="D3" s="7">
        <v>6.56188805129077E7</v>
      </c>
      <c r="E3" s="7">
        <v>5.792092921961301E7</v>
      </c>
      <c r="F3" s="7">
        <v>5.46129247336E7</v>
      </c>
      <c r="G3" s="7">
        <v>7.3219718E7</v>
      </c>
    </row>
    <row r="4">
      <c r="A4" s="6" t="s">
        <v>6</v>
      </c>
      <c r="B4" s="6" t="s">
        <v>7</v>
      </c>
      <c r="C4" s="7">
        <v>4.054974668045199E7</v>
      </c>
      <c r="D4" s="7">
        <v>3.796799153685346E7</v>
      </c>
      <c r="E4" s="7">
        <v>3.287620042487912E7</v>
      </c>
      <c r="F4" s="7">
        <v>3.0670519513E7</v>
      </c>
      <c r="G4" s="7">
        <v>4.0326906E7</v>
      </c>
    </row>
    <row r="5">
      <c r="A5" s="8" t="s">
        <v>8</v>
      </c>
      <c r="B5" s="8" t="s">
        <v>9</v>
      </c>
      <c r="C5" s="9">
        <v>1.247139602178469E7</v>
      </c>
      <c r="D5" s="9">
        <v>1.174952505392397E7</v>
      </c>
      <c r="E5" s="9">
        <v>1.037613066994356E7</v>
      </c>
      <c r="F5" s="9">
        <v>8251704.7682</v>
      </c>
      <c r="G5" s="9">
        <v>9678721.0</v>
      </c>
    </row>
    <row r="6">
      <c r="A6" s="8" t="s">
        <v>10</v>
      </c>
      <c r="B6" s="10" t="s">
        <v>11</v>
      </c>
      <c r="C6" s="9">
        <v>5414028.96100182</v>
      </c>
      <c r="D6" s="9">
        <v>4851617.08465868</v>
      </c>
      <c r="E6" s="9">
        <v>2823360.34425552</v>
      </c>
      <c r="F6" s="9">
        <v>2642448.0196</v>
      </c>
      <c r="G6" s="9">
        <v>3961465.0</v>
      </c>
    </row>
    <row r="7">
      <c r="A7" s="8" t="s">
        <v>12</v>
      </c>
      <c r="B7" s="8" t="s">
        <v>13</v>
      </c>
      <c r="C7" s="9">
        <v>2015668.735890013</v>
      </c>
      <c r="D7" s="9">
        <v>1266386.59356416</v>
      </c>
      <c r="E7" s="9">
        <v>680961.31824268</v>
      </c>
      <c r="F7" s="9">
        <v>858558.799</v>
      </c>
      <c r="G7" s="9">
        <v>844940.0</v>
      </c>
    </row>
    <row r="8">
      <c r="A8" s="8" t="s">
        <v>14</v>
      </c>
      <c r="B8" s="8" t="s">
        <v>15</v>
      </c>
      <c r="C8" s="9">
        <v>0.0</v>
      </c>
      <c r="D8" s="9">
        <v>0.0</v>
      </c>
      <c r="E8" s="9">
        <v>0.0</v>
      </c>
      <c r="F8" s="9">
        <v>0.0</v>
      </c>
      <c r="G8" s="9">
        <v>0.0</v>
      </c>
    </row>
    <row r="9">
      <c r="A9" s="8" t="s">
        <v>16</v>
      </c>
      <c r="B9" s="8" t="s">
        <v>17</v>
      </c>
      <c r="C9" s="9">
        <v>2015668.735890013</v>
      </c>
      <c r="D9" s="9">
        <v>1266386.59356416</v>
      </c>
      <c r="E9" s="9">
        <v>680961.31824268</v>
      </c>
      <c r="F9" s="9">
        <v>858558.799</v>
      </c>
      <c r="G9" s="9">
        <v>844940.0</v>
      </c>
    </row>
    <row r="10">
      <c r="A10" s="8" t="s">
        <v>18</v>
      </c>
      <c r="B10" s="8" t="s">
        <v>19</v>
      </c>
      <c r="C10" s="9">
        <v>3397654.211097697</v>
      </c>
      <c r="D10" s="9">
        <v>3496075.05004462</v>
      </c>
      <c r="E10" s="9">
        <v>1111726.29244908</v>
      </c>
      <c r="F10" s="9">
        <v>1775326.0736</v>
      </c>
      <c r="G10" s="9">
        <v>209121.0</v>
      </c>
    </row>
    <row r="11">
      <c r="A11" s="8" t="s">
        <v>20</v>
      </c>
      <c r="B11" s="8" t="s">
        <v>21</v>
      </c>
      <c r="C11" s="9">
        <v>706.0140141098215</v>
      </c>
      <c r="D11" s="9">
        <v>89155.44104989979</v>
      </c>
      <c r="E11" s="9">
        <v>1030672.73356376</v>
      </c>
      <c r="F11" s="9">
        <v>8563.147</v>
      </c>
      <c r="G11" s="9">
        <v>2907404.0</v>
      </c>
    </row>
    <row r="12">
      <c r="A12" s="8" t="s">
        <v>22</v>
      </c>
      <c r="B12" s="8" t="s">
        <v>23</v>
      </c>
      <c r="C12" s="9">
        <v>1402866.41315207</v>
      </c>
      <c r="D12" s="9">
        <v>1283337.208543049</v>
      </c>
      <c r="E12" s="9">
        <v>1449209.56900648</v>
      </c>
      <c r="F12" s="9">
        <v>1144577.3246</v>
      </c>
      <c r="G12" s="9">
        <v>2061890.0</v>
      </c>
    </row>
    <row r="13">
      <c r="A13" s="8" t="s">
        <v>24</v>
      </c>
      <c r="B13" s="8" t="s">
        <v>25</v>
      </c>
      <c r="C13" s="9">
        <v>1402866.41315207</v>
      </c>
      <c r="D13" s="9">
        <v>1283337.208543049</v>
      </c>
      <c r="E13" s="9">
        <v>1449209.56900648</v>
      </c>
      <c r="F13" s="9">
        <v>1144577.3246</v>
      </c>
      <c r="G13" s="9">
        <v>2061890.0</v>
      </c>
    </row>
    <row r="14">
      <c r="A14" s="8" t="s">
        <v>26</v>
      </c>
      <c r="B14" s="8" t="s">
        <v>27</v>
      </c>
      <c r="C14" s="9">
        <v>1346756.140539721</v>
      </c>
      <c r="D14" s="9">
        <v>1221414.605370633</v>
      </c>
      <c r="E14" s="9">
        <v>1159022.22013592</v>
      </c>
      <c r="F14" s="9">
        <v>1102285.7358</v>
      </c>
      <c r="G14" s="9">
        <v>1986223.0</v>
      </c>
    </row>
    <row r="15">
      <c r="A15" s="8" t="s">
        <v>28</v>
      </c>
      <c r="B15" s="8" t="s">
        <v>29</v>
      </c>
      <c r="C15" s="9">
        <v>56110.27261234896</v>
      </c>
      <c r="D15" s="9">
        <v>61922.60317241634</v>
      </c>
      <c r="E15" s="9">
        <v>290187.34887056</v>
      </c>
      <c r="F15" s="9">
        <v>42291.5888</v>
      </c>
      <c r="G15" s="9">
        <v>75667.0</v>
      </c>
    </row>
    <row r="16">
      <c r="A16" s="8" t="s">
        <v>30</v>
      </c>
      <c r="B16" s="8" t="s">
        <v>31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</row>
    <row r="17">
      <c r="A17" s="8" t="s">
        <v>32</v>
      </c>
      <c r="B17" s="8" t="s">
        <v>33</v>
      </c>
      <c r="C17" s="9">
        <v>0.0</v>
      </c>
      <c r="D17" s="9">
        <v>0.0</v>
      </c>
      <c r="E17" s="9">
        <v>0.0</v>
      </c>
      <c r="F17" s="9">
        <v>0.0</v>
      </c>
      <c r="G17" s="9">
        <v>0.0</v>
      </c>
    </row>
    <row r="18">
      <c r="A18" s="8" t="s">
        <v>34</v>
      </c>
      <c r="B18" s="8" t="s">
        <v>35</v>
      </c>
      <c r="C18" s="9">
        <v>1.619271942654592E7</v>
      </c>
      <c r="D18" s="9">
        <v>1.283273755185522E7</v>
      </c>
      <c r="E18" s="9">
        <v>1.33009083863406E7</v>
      </c>
      <c r="F18" s="9">
        <v>1.3351321926E7</v>
      </c>
      <c r="G18" s="9">
        <v>1.8181138E7</v>
      </c>
    </row>
    <row r="19">
      <c r="A19" s="8" t="s">
        <v>36</v>
      </c>
      <c r="B19" s="8" t="s">
        <v>37</v>
      </c>
      <c r="C19" s="9">
        <v>0.0</v>
      </c>
      <c r="D19" s="9">
        <v>0.0</v>
      </c>
      <c r="E19" s="9">
        <v>0.0</v>
      </c>
      <c r="F19" s="9">
        <v>0.0</v>
      </c>
      <c r="G19" s="9">
        <v>0.0</v>
      </c>
    </row>
    <row r="20">
      <c r="A20" s="8" t="s">
        <v>38</v>
      </c>
      <c r="B20" s="8" t="s">
        <v>39</v>
      </c>
      <c r="C20" s="9">
        <v>1087001.605449561</v>
      </c>
      <c r="D20" s="9">
        <v>981858.4962691012</v>
      </c>
      <c r="E20" s="9">
        <v>1040456.77692292</v>
      </c>
      <c r="F20" s="9">
        <v>1397556.8542</v>
      </c>
      <c r="G20" s="9">
        <v>1421883.0</v>
      </c>
    </row>
    <row r="21">
      <c r="A21" s="8" t="s">
        <v>40</v>
      </c>
      <c r="B21" s="8" t="s">
        <v>41</v>
      </c>
      <c r="C21" s="9">
        <v>1087001.605449561</v>
      </c>
      <c r="D21" s="9">
        <v>981858.4962691012</v>
      </c>
      <c r="E21" s="9">
        <v>1040456.77692292</v>
      </c>
      <c r="F21" s="9">
        <v>1397556.8542</v>
      </c>
      <c r="G21" s="9">
        <v>1421883.0</v>
      </c>
    </row>
    <row r="22" ht="15.75" customHeight="1">
      <c r="A22" s="8" t="s">
        <v>42</v>
      </c>
      <c r="B22" s="8" t="s">
        <v>43</v>
      </c>
      <c r="C22" s="9">
        <v>205377.4376749034</v>
      </c>
      <c r="D22" s="9">
        <v>212494.6416056913</v>
      </c>
      <c r="E22" s="9">
        <v>342683.40968184</v>
      </c>
      <c r="F22" s="9">
        <v>252324.6084</v>
      </c>
      <c r="G22" s="9">
        <v>363721.0</v>
      </c>
    </row>
    <row r="23" ht="15.75" customHeight="1">
      <c r="A23" s="8" t="s">
        <v>44</v>
      </c>
      <c r="B23" s="8" t="s">
        <v>45</v>
      </c>
      <c r="C23" s="9">
        <v>3776356.814843035</v>
      </c>
      <c r="D23" s="9">
        <v>6056421.499997743</v>
      </c>
      <c r="E23" s="9">
        <v>3543451.2687282</v>
      </c>
      <c r="F23" s="9">
        <v>3630586.012</v>
      </c>
      <c r="G23" s="9">
        <v>4658088.0</v>
      </c>
    </row>
    <row r="24" ht="15.75" customHeight="1">
      <c r="A24" s="8" t="s">
        <v>46</v>
      </c>
      <c r="B24" s="8" t="s">
        <v>47</v>
      </c>
      <c r="C24" s="9">
        <v>0.0</v>
      </c>
      <c r="D24" s="9">
        <v>0.0</v>
      </c>
      <c r="E24" s="9">
        <v>0.0</v>
      </c>
      <c r="F24" s="9">
        <v>0.0</v>
      </c>
      <c r="G24" s="9">
        <v>0.0</v>
      </c>
    </row>
    <row r="25" ht="15.75" customHeight="1">
      <c r="A25" s="8" t="s">
        <v>48</v>
      </c>
      <c r="B25" s="8" t="s">
        <v>49</v>
      </c>
      <c r="C25" s="9">
        <v>0.0</v>
      </c>
      <c r="D25" s="9">
        <v>1491922.7527945</v>
      </c>
      <c r="E25" s="9">
        <v>0.0</v>
      </c>
      <c r="F25" s="9">
        <v>0.0</v>
      </c>
      <c r="G25" s="9">
        <v>0.0</v>
      </c>
    </row>
    <row r="26" ht="15.75" customHeight="1">
      <c r="A26" s="8" t="s">
        <v>50</v>
      </c>
      <c r="B26" s="8" t="s">
        <v>51</v>
      </c>
      <c r="C26" s="9">
        <v>0.0</v>
      </c>
      <c r="D26" s="9">
        <v>1491922.7527945</v>
      </c>
      <c r="E26" s="9">
        <v>0.0</v>
      </c>
      <c r="F26" s="9">
        <v>0.0</v>
      </c>
      <c r="G26" s="9">
        <v>0.0</v>
      </c>
    </row>
    <row r="27" ht="15.75" customHeight="1">
      <c r="A27" s="8" t="s">
        <v>52</v>
      </c>
      <c r="B27" s="8" t="s">
        <v>53</v>
      </c>
      <c r="C27" s="9">
        <v>3776356.814843035</v>
      </c>
      <c r="D27" s="9">
        <v>4564498.747203243</v>
      </c>
      <c r="E27" s="9">
        <v>3543451.2687282</v>
      </c>
      <c r="F27" s="9">
        <v>3630586.012</v>
      </c>
      <c r="G27" s="9">
        <v>4658088.0</v>
      </c>
    </row>
    <row r="28" ht="15.75" customHeight="1">
      <c r="A28" s="8" t="s">
        <v>54</v>
      </c>
      <c r="B28" s="8" t="s">
        <v>55</v>
      </c>
      <c r="C28" s="9">
        <v>661904.7053438121</v>
      </c>
      <c r="D28" s="9">
        <v>797304.1743191638</v>
      </c>
      <c r="E28" s="9">
        <v>626630.81770996</v>
      </c>
      <c r="F28" s="9">
        <v>963401.6396</v>
      </c>
      <c r="G28" s="9">
        <v>720543.0</v>
      </c>
    </row>
    <row r="29" ht="15.75" customHeight="1">
      <c r="A29" s="8" t="s">
        <v>56</v>
      </c>
      <c r="B29" s="8" t="s">
        <v>57</v>
      </c>
      <c r="C29" s="9">
        <v>55030.86129474785</v>
      </c>
      <c r="D29" s="9">
        <v>814.0093128054282</v>
      </c>
      <c r="E29" s="9">
        <v>30555.02342704</v>
      </c>
      <c r="F29" s="9">
        <v>88759.60800000001</v>
      </c>
      <c r="G29" s="9">
        <v>81775.0</v>
      </c>
    </row>
    <row r="30" ht="15.75" customHeight="1">
      <c r="A30" s="8" t="s">
        <v>58</v>
      </c>
      <c r="B30" s="8" t="s">
        <v>59</v>
      </c>
      <c r="C30" s="9">
        <v>1361.052287128681</v>
      </c>
      <c r="D30" s="9">
        <v>3696.042285170593</v>
      </c>
      <c r="E30" s="9">
        <v>0.0</v>
      </c>
      <c r="F30" s="9">
        <v>0.0</v>
      </c>
      <c r="G30" s="9">
        <v>0.0</v>
      </c>
    </row>
    <row r="31" ht="15.75" customHeight="1">
      <c r="A31" s="8" t="s">
        <v>60</v>
      </c>
      <c r="B31" s="8" t="s">
        <v>61</v>
      </c>
      <c r="C31" s="9">
        <v>3058060.195917346</v>
      </c>
      <c r="D31" s="9">
        <v>3762684.521286103</v>
      </c>
      <c r="E31" s="9">
        <v>2886265.4275912</v>
      </c>
      <c r="F31" s="9">
        <v>2578424.7644</v>
      </c>
      <c r="G31" s="9">
        <v>3855770.0</v>
      </c>
    </row>
    <row r="32" ht="15.75" customHeight="1">
      <c r="A32" s="6"/>
      <c r="B32" s="6"/>
      <c r="C32" s="9"/>
      <c r="D32" s="9"/>
      <c r="E32" s="9"/>
      <c r="F32" s="9"/>
      <c r="G32" s="9"/>
    </row>
    <row r="33" ht="15.75" customHeight="1">
      <c r="A33" s="6" t="s">
        <v>62</v>
      </c>
      <c r="B33" s="6" t="s">
        <v>63</v>
      </c>
      <c r="C33" s="7">
        <v>2.914130063507662E7</v>
      </c>
      <c r="D33" s="7">
        <v>2.765088897605425E7</v>
      </c>
      <c r="E33" s="7">
        <v>2.504472879473388E7</v>
      </c>
      <c r="F33" s="7">
        <v>2.39424052206E7</v>
      </c>
      <c r="G33" s="7">
        <v>3.2892812E7</v>
      </c>
      <c r="I33" s="11">
        <f>C33/C187</f>
        <v>1.509805436</v>
      </c>
    </row>
    <row r="34" ht="15.75" customHeight="1">
      <c r="A34" s="8" t="s">
        <v>64</v>
      </c>
      <c r="B34" s="8" t="s">
        <v>65</v>
      </c>
      <c r="C34" s="9">
        <v>1995054.146192828</v>
      </c>
      <c r="D34" s="9">
        <v>2026121.285431994</v>
      </c>
      <c r="E34" s="9">
        <v>2354678.50797864</v>
      </c>
      <c r="F34" s="9">
        <v>2578961.465</v>
      </c>
      <c r="G34" s="9">
        <v>4454043.0</v>
      </c>
    </row>
    <row r="35" ht="15.75" customHeight="1">
      <c r="A35" s="8" t="s">
        <v>66</v>
      </c>
      <c r="B35" s="8" t="s">
        <v>13</v>
      </c>
      <c r="C35" s="9">
        <v>0.0</v>
      </c>
      <c r="D35" s="9">
        <v>0.0</v>
      </c>
      <c r="E35" s="9">
        <v>0.0</v>
      </c>
      <c r="F35" s="9">
        <v>0.0</v>
      </c>
      <c r="G35" s="9">
        <v>848930.0</v>
      </c>
    </row>
    <row r="36" ht="15.75" customHeight="1">
      <c r="A36" s="8" t="s">
        <v>67</v>
      </c>
      <c r="B36" s="8" t="s">
        <v>17</v>
      </c>
      <c r="C36" s="9">
        <v>0.0</v>
      </c>
      <c r="D36" s="9">
        <v>0.0</v>
      </c>
      <c r="E36" s="9">
        <v>0.0</v>
      </c>
      <c r="F36" s="9">
        <v>0.0</v>
      </c>
      <c r="G36" s="9">
        <v>848930.0</v>
      </c>
    </row>
    <row r="37" ht="15.75" customHeight="1">
      <c r="A37" s="8" t="s">
        <v>68</v>
      </c>
      <c r="B37" s="8" t="s">
        <v>19</v>
      </c>
      <c r="C37" s="9">
        <v>0.0</v>
      </c>
      <c r="D37" s="9">
        <v>0.0</v>
      </c>
      <c r="E37" s="9">
        <v>0.0</v>
      </c>
      <c r="F37" s="9">
        <v>0.0</v>
      </c>
      <c r="G37" s="9">
        <v>430227.0</v>
      </c>
    </row>
    <row r="38" ht="15.75" customHeight="1">
      <c r="A38" s="8" t="s">
        <v>69</v>
      </c>
      <c r="B38" s="8" t="s">
        <v>21</v>
      </c>
      <c r="C38" s="9">
        <v>342388.7601856634</v>
      </c>
      <c r="D38" s="9">
        <v>424101.1677875962</v>
      </c>
      <c r="E38" s="9">
        <v>970743.68937044</v>
      </c>
      <c r="F38" s="9">
        <v>861285.1962</v>
      </c>
      <c r="G38" s="9">
        <v>877541.0</v>
      </c>
    </row>
    <row r="39" ht="15.75" customHeight="1">
      <c r="A39" s="8" t="s">
        <v>70</v>
      </c>
      <c r="B39" s="8" t="s">
        <v>23</v>
      </c>
      <c r="C39" s="9">
        <v>142020.9634664742</v>
      </c>
      <c r="D39" s="9">
        <v>144553.2327320479</v>
      </c>
      <c r="E39" s="9">
        <v>300699.25763232</v>
      </c>
      <c r="F39" s="9">
        <v>292458.9328</v>
      </c>
      <c r="G39" s="9">
        <v>137253.0</v>
      </c>
    </row>
    <row r="40" ht="15.75" customHeight="1">
      <c r="A40" s="8" t="s">
        <v>71</v>
      </c>
      <c r="B40" s="8" t="s">
        <v>25</v>
      </c>
      <c r="C40" s="9">
        <v>43.32937992731756</v>
      </c>
      <c r="D40" s="9">
        <v>0.0</v>
      </c>
      <c r="E40" s="9">
        <v>12983.36752728</v>
      </c>
      <c r="F40" s="9">
        <v>17101.1852</v>
      </c>
      <c r="G40" s="9">
        <v>12480.0</v>
      </c>
    </row>
    <row r="41" ht="15.75" customHeight="1">
      <c r="A41" s="8" t="s">
        <v>72</v>
      </c>
      <c r="B41" s="8" t="s">
        <v>33</v>
      </c>
      <c r="C41" s="9">
        <v>0.0</v>
      </c>
      <c r="D41" s="9">
        <v>0.0</v>
      </c>
      <c r="E41" s="9">
        <v>0.0</v>
      </c>
      <c r="F41" s="9">
        <v>0.0</v>
      </c>
      <c r="G41" s="9">
        <v>0.0</v>
      </c>
    </row>
    <row r="42" ht="15.75" customHeight="1">
      <c r="A42" s="8" t="s">
        <v>73</v>
      </c>
      <c r="B42" s="8" t="s">
        <v>29</v>
      </c>
      <c r="C42" s="9">
        <v>141977.6340865469</v>
      </c>
      <c r="D42" s="9">
        <v>144553.2327320479</v>
      </c>
      <c r="E42" s="9">
        <v>287715.89010504</v>
      </c>
      <c r="F42" s="9">
        <v>275357.7476</v>
      </c>
      <c r="G42" s="9">
        <v>124773.0</v>
      </c>
    </row>
    <row r="43" ht="15.75" customHeight="1">
      <c r="A43" s="8" t="s">
        <v>74</v>
      </c>
      <c r="B43" s="8" t="s">
        <v>31</v>
      </c>
      <c r="C43" s="9">
        <v>0.0</v>
      </c>
      <c r="D43" s="9">
        <v>0.0</v>
      </c>
      <c r="E43" s="9">
        <v>0.0</v>
      </c>
      <c r="F43" s="9">
        <v>0.0</v>
      </c>
      <c r="G43" s="9">
        <v>0.0</v>
      </c>
    </row>
    <row r="44" ht="15.75" customHeight="1">
      <c r="A44" s="8" t="s">
        <v>75</v>
      </c>
      <c r="B44" s="8" t="s">
        <v>35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</row>
    <row r="45" ht="15.75" customHeight="1">
      <c r="A45" s="8" t="s">
        <v>76</v>
      </c>
      <c r="B45" s="8" t="s">
        <v>37</v>
      </c>
      <c r="C45" s="9">
        <v>0.0</v>
      </c>
      <c r="D45" s="9">
        <v>0.0</v>
      </c>
      <c r="E45" s="9">
        <v>0.0</v>
      </c>
      <c r="F45" s="9">
        <v>0.0</v>
      </c>
      <c r="G45" s="9">
        <v>0.0</v>
      </c>
    </row>
    <row r="46" ht="15.75" customHeight="1">
      <c r="A46" s="8" t="s">
        <v>77</v>
      </c>
      <c r="B46" s="8" t="s">
        <v>78</v>
      </c>
      <c r="C46" s="9">
        <v>692592.1014805712</v>
      </c>
      <c r="D46" s="9">
        <v>630383.6330587198</v>
      </c>
      <c r="E46" s="9">
        <v>274798.19464416</v>
      </c>
      <c r="F46" s="9">
        <v>697366.5802</v>
      </c>
      <c r="G46" s="9">
        <v>1077573.0</v>
      </c>
    </row>
    <row r="47" ht="15.75" customHeight="1">
      <c r="A47" s="8" t="s">
        <v>79</v>
      </c>
      <c r="B47" s="8" t="s">
        <v>80</v>
      </c>
      <c r="C47" s="9">
        <v>692592.1014805712</v>
      </c>
      <c r="D47" s="9">
        <v>630383.6330587198</v>
      </c>
      <c r="E47" s="9">
        <v>274798.19464416</v>
      </c>
      <c r="F47" s="9">
        <v>697366.5802</v>
      </c>
      <c r="G47" s="9">
        <v>1077573.0</v>
      </c>
    </row>
    <row r="48" ht="15.75" customHeight="1">
      <c r="A48" s="8" t="s">
        <v>81</v>
      </c>
      <c r="B48" s="8" t="s">
        <v>43</v>
      </c>
      <c r="C48" s="9">
        <v>36043.67213189184</v>
      </c>
      <c r="D48" s="9">
        <v>21664.45838206197</v>
      </c>
      <c r="E48" s="9">
        <v>54946.72342244001</v>
      </c>
      <c r="F48" s="9">
        <v>84729.6456</v>
      </c>
      <c r="G48" s="9">
        <v>110495.0</v>
      </c>
    </row>
    <row r="49" ht="15.75" customHeight="1">
      <c r="A49" s="8" t="s">
        <v>82</v>
      </c>
      <c r="B49" s="8" t="s">
        <v>83</v>
      </c>
      <c r="C49" s="9">
        <v>0.0</v>
      </c>
      <c r="D49" s="9">
        <v>0.0</v>
      </c>
      <c r="E49" s="9">
        <v>0.0</v>
      </c>
      <c r="F49" s="9">
        <v>0.0</v>
      </c>
      <c r="G49" s="9">
        <v>0.0</v>
      </c>
    </row>
    <row r="50" ht="15.75" customHeight="1">
      <c r="A50" s="8" t="s">
        <v>84</v>
      </c>
      <c r="B50" s="8" t="s">
        <v>85</v>
      </c>
      <c r="C50" s="9">
        <v>0.0</v>
      </c>
      <c r="D50" s="9">
        <v>0.0</v>
      </c>
      <c r="E50" s="9">
        <v>0.0</v>
      </c>
      <c r="F50" s="9">
        <v>0.0</v>
      </c>
      <c r="G50" s="9">
        <v>0.0</v>
      </c>
    </row>
    <row r="51" ht="15.75" customHeight="1">
      <c r="A51" s="8" t="s">
        <v>86</v>
      </c>
      <c r="B51" s="8" t="s">
        <v>87</v>
      </c>
      <c r="C51" s="9">
        <v>0.0</v>
      </c>
      <c r="D51" s="9">
        <v>0.0</v>
      </c>
      <c r="E51" s="9">
        <v>0.0</v>
      </c>
      <c r="F51" s="9">
        <v>0.0</v>
      </c>
      <c r="G51" s="9">
        <v>0.0</v>
      </c>
    </row>
    <row r="52" ht="15.75" customHeight="1">
      <c r="A52" s="8" t="s">
        <v>88</v>
      </c>
      <c r="B52" s="8" t="s">
        <v>89</v>
      </c>
      <c r="C52" s="9">
        <v>0.0</v>
      </c>
      <c r="D52" s="9">
        <v>0.0</v>
      </c>
      <c r="E52" s="9">
        <v>0.0</v>
      </c>
      <c r="F52" s="9">
        <v>0.0</v>
      </c>
      <c r="G52" s="9">
        <v>0.0</v>
      </c>
    </row>
    <row r="53" ht="15.75" customHeight="1">
      <c r="A53" s="8" t="s">
        <v>90</v>
      </c>
      <c r="B53" s="8" t="s">
        <v>91</v>
      </c>
      <c r="C53" s="9">
        <v>782008.6489282274</v>
      </c>
      <c r="D53" s="9">
        <v>805418.7934715684</v>
      </c>
      <c r="E53" s="9">
        <v>753490.64290928</v>
      </c>
      <c r="F53" s="9">
        <v>643121.1102</v>
      </c>
      <c r="G53" s="9">
        <v>972024.0</v>
      </c>
    </row>
    <row r="54" ht="15.75" customHeight="1">
      <c r="A54" s="8" t="s">
        <v>92</v>
      </c>
      <c r="B54" s="8" t="s">
        <v>47</v>
      </c>
      <c r="C54" s="9">
        <v>0.0</v>
      </c>
      <c r="D54" s="9">
        <v>0.0</v>
      </c>
      <c r="E54" s="9">
        <v>0.0</v>
      </c>
      <c r="F54" s="9">
        <v>0.0</v>
      </c>
      <c r="G54" s="9">
        <v>0.0</v>
      </c>
    </row>
    <row r="55" ht="15.75" customHeight="1">
      <c r="A55" s="8" t="s">
        <v>93</v>
      </c>
      <c r="B55" s="8" t="s">
        <v>49</v>
      </c>
      <c r="C55" s="9">
        <v>0.0</v>
      </c>
      <c r="D55" s="9">
        <v>0.0</v>
      </c>
      <c r="E55" s="9">
        <v>0.0</v>
      </c>
      <c r="F55" s="9">
        <v>0.0</v>
      </c>
      <c r="G55" s="9">
        <v>0.0</v>
      </c>
    </row>
    <row r="56" ht="15.75" customHeight="1">
      <c r="A56" s="8" t="s">
        <v>94</v>
      </c>
      <c r="B56" s="8" t="s">
        <v>95</v>
      </c>
      <c r="C56" s="9">
        <v>318204.5942185838</v>
      </c>
      <c r="D56" s="9">
        <v>400507.6347040637</v>
      </c>
      <c r="E56" s="9">
        <v>335335.79998612</v>
      </c>
      <c r="F56" s="9">
        <v>256847.331</v>
      </c>
      <c r="G56" s="9">
        <v>376177.0</v>
      </c>
    </row>
    <row r="57" ht="15.75" customHeight="1">
      <c r="A57" s="8" t="s">
        <v>96</v>
      </c>
      <c r="B57" s="8" t="s">
        <v>55</v>
      </c>
      <c r="C57" s="9">
        <v>445419.6536851882</v>
      </c>
      <c r="D57" s="9">
        <v>389611.7205739085</v>
      </c>
      <c r="E57" s="9">
        <v>381606.14890268</v>
      </c>
      <c r="F57" s="9">
        <v>374200.6312</v>
      </c>
      <c r="G57" s="9">
        <v>587356.0</v>
      </c>
    </row>
    <row r="58" ht="15.75" customHeight="1">
      <c r="A58" s="8" t="s">
        <v>97</v>
      </c>
      <c r="B58" s="8" t="s">
        <v>59</v>
      </c>
      <c r="C58" s="9">
        <v>10052.41614313767</v>
      </c>
      <c r="D58" s="9">
        <v>15211.43718680642</v>
      </c>
      <c r="E58" s="9">
        <v>0.0</v>
      </c>
      <c r="F58" s="9">
        <v>0.0</v>
      </c>
      <c r="G58" s="9">
        <v>0.0</v>
      </c>
    </row>
    <row r="59" ht="15.75" customHeight="1">
      <c r="A59" s="8" t="s">
        <v>98</v>
      </c>
      <c r="B59" s="8" t="s">
        <v>57</v>
      </c>
      <c r="C59" s="9">
        <v>8331.984881317712</v>
      </c>
      <c r="D59" s="9">
        <v>88.00100678977601</v>
      </c>
      <c r="E59" s="9">
        <v>32817.42611452</v>
      </c>
      <c r="F59" s="9">
        <v>0.0</v>
      </c>
      <c r="G59" s="9">
        <v>0.0</v>
      </c>
    </row>
    <row r="60" ht="15.75" customHeight="1">
      <c r="A60" s="8" t="s">
        <v>99</v>
      </c>
      <c r="B60" s="8" t="s">
        <v>61</v>
      </c>
      <c r="C60" s="9"/>
      <c r="D60" s="9">
        <v>0.0</v>
      </c>
      <c r="E60" s="9">
        <v>3731.267905960001</v>
      </c>
      <c r="F60" s="9">
        <v>12073.148</v>
      </c>
      <c r="G60" s="9">
        <v>8491.0</v>
      </c>
    </row>
    <row r="61" ht="15.75" customHeight="1">
      <c r="A61" s="8" t="s">
        <v>100</v>
      </c>
      <c r="B61" s="8" t="s">
        <v>101</v>
      </c>
      <c r="C61" s="9">
        <v>34304.12496716277</v>
      </c>
      <c r="D61" s="9">
        <v>28543.58971545748</v>
      </c>
      <c r="E61" s="9">
        <v>70264.73291024001</v>
      </c>
      <c r="F61" s="9">
        <v>142743.528</v>
      </c>
      <c r="G61" s="9">
        <v>270608.0</v>
      </c>
    </row>
    <row r="62" ht="15.75" customHeight="1">
      <c r="A62" s="8" t="s">
        <v>102</v>
      </c>
      <c r="B62" s="8" t="s">
        <v>103</v>
      </c>
      <c r="C62" s="9">
        <v>34304.12496716277</v>
      </c>
      <c r="D62" s="9">
        <v>28543.58971545748</v>
      </c>
      <c r="E62" s="9">
        <v>70264.73291024001</v>
      </c>
      <c r="F62" s="9">
        <v>142743.528</v>
      </c>
      <c r="G62" s="9">
        <v>270608.0</v>
      </c>
    </row>
    <row r="63" ht="15.75" customHeight="1">
      <c r="A63" s="8" t="s">
        <v>104</v>
      </c>
      <c r="B63" s="8" t="s">
        <v>105</v>
      </c>
      <c r="C63" s="9">
        <v>34304.12496716277</v>
      </c>
      <c r="D63" s="9">
        <v>28543.58971545748</v>
      </c>
      <c r="E63" s="9">
        <v>70264.73291024001</v>
      </c>
      <c r="F63" s="9">
        <v>142743.528</v>
      </c>
      <c r="G63" s="9">
        <v>270608.0</v>
      </c>
    </row>
    <row r="64" ht="15.75" customHeight="1">
      <c r="A64" s="8" t="s">
        <v>106</v>
      </c>
      <c r="B64" s="8" t="s">
        <v>107</v>
      </c>
      <c r="C64" s="9">
        <v>0.0</v>
      </c>
      <c r="D64" s="9">
        <v>0.0</v>
      </c>
      <c r="E64" s="9">
        <v>0.0</v>
      </c>
      <c r="F64" s="9">
        <v>0.0</v>
      </c>
      <c r="G64" s="9">
        <v>0.0</v>
      </c>
    </row>
    <row r="65" ht="15.75" customHeight="1">
      <c r="A65" s="8" t="s">
        <v>108</v>
      </c>
      <c r="B65" s="8" t="s">
        <v>109</v>
      </c>
      <c r="C65" s="9">
        <v>0.0</v>
      </c>
      <c r="D65" s="9">
        <v>0.0</v>
      </c>
      <c r="E65" s="9">
        <v>0.0</v>
      </c>
      <c r="F65" s="9">
        <v>0.0</v>
      </c>
      <c r="G65" s="9">
        <v>0.0</v>
      </c>
    </row>
    <row r="66" ht="15.75" customHeight="1">
      <c r="A66" s="8" t="s">
        <v>110</v>
      </c>
      <c r="B66" s="8" t="s">
        <v>111</v>
      </c>
      <c r="C66" s="9">
        <v>0.0</v>
      </c>
      <c r="D66" s="9">
        <v>0.0</v>
      </c>
      <c r="E66" s="9">
        <v>0.0</v>
      </c>
      <c r="F66" s="9">
        <v>0.0</v>
      </c>
      <c r="G66" s="9">
        <v>0.0</v>
      </c>
    </row>
    <row r="67" ht="15.75" customHeight="1">
      <c r="A67" s="8" t="s">
        <v>112</v>
      </c>
      <c r="B67" s="8" t="s">
        <v>113</v>
      </c>
      <c r="C67" s="9">
        <v>1.336607125367216E7</v>
      </c>
      <c r="D67" s="9">
        <v>1.129384889331861E7</v>
      </c>
      <c r="E67" s="9">
        <v>9790271.2601236</v>
      </c>
      <c r="F67" s="9">
        <v>9414354.1516</v>
      </c>
      <c r="G67" s="9">
        <v>1.2669526E7</v>
      </c>
    </row>
    <row r="68" ht="15.75" customHeight="1">
      <c r="A68" s="8" t="s">
        <v>114</v>
      </c>
      <c r="B68" s="8" t="s">
        <v>115</v>
      </c>
      <c r="C68" s="9">
        <v>1.295362398371813E7</v>
      </c>
      <c r="D68" s="9">
        <v>1.090461812447146E7</v>
      </c>
      <c r="E68" s="9">
        <v>9418555.32442076</v>
      </c>
      <c r="F68" s="9">
        <v>8968697.0142</v>
      </c>
      <c r="G68" s="9">
        <v>1.2021105E7</v>
      </c>
    </row>
    <row r="69" ht="15.75" customHeight="1">
      <c r="A69" s="8" t="s">
        <v>116</v>
      </c>
      <c r="B69" s="8" t="s">
        <v>117</v>
      </c>
      <c r="C69" s="9">
        <v>412447.2699540267</v>
      </c>
      <c r="D69" s="9">
        <v>389230.7688471475</v>
      </c>
      <c r="E69" s="9">
        <v>371715.93570284</v>
      </c>
      <c r="F69" s="9">
        <v>445657.1374</v>
      </c>
      <c r="G69" s="9">
        <v>648421.0</v>
      </c>
    </row>
    <row r="70" ht="15.75" customHeight="1">
      <c r="A70" s="8" t="s">
        <v>118</v>
      </c>
      <c r="B70" s="8" t="s">
        <v>119</v>
      </c>
      <c r="C70" s="9">
        <v>0.0</v>
      </c>
      <c r="D70" s="9">
        <v>0.0</v>
      </c>
      <c r="E70" s="9">
        <v>0.0</v>
      </c>
      <c r="F70" s="9">
        <v>0.0</v>
      </c>
      <c r="G70" s="9">
        <v>0.0</v>
      </c>
    </row>
    <row r="71" ht="15.75" customHeight="1">
      <c r="A71" s="8" t="s">
        <v>120</v>
      </c>
      <c r="B71" s="8" t="s">
        <v>121</v>
      </c>
      <c r="C71" s="9">
        <v>1.374587111024448E7</v>
      </c>
      <c r="D71" s="9">
        <v>1.430237520758819E7</v>
      </c>
      <c r="E71" s="9">
        <v>1.28295142937214E7</v>
      </c>
      <c r="F71" s="9">
        <v>1.1806346076E7</v>
      </c>
      <c r="G71" s="9">
        <v>1.5498635E7</v>
      </c>
    </row>
    <row r="72" ht="15.75" customHeight="1">
      <c r="A72" s="8" t="s">
        <v>122</v>
      </c>
      <c r="B72" s="8" t="s">
        <v>123</v>
      </c>
      <c r="C72" s="9">
        <v>1.374587111024448E7</v>
      </c>
      <c r="D72" s="9">
        <v>1.430237520758819E7</v>
      </c>
      <c r="E72" s="9">
        <v>1.28295142937214E7</v>
      </c>
      <c r="F72" s="9">
        <v>1.1806346076E7</v>
      </c>
      <c r="G72" s="9">
        <v>1.5498635E7</v>
      </c>
    </row>
    <row r="73" ht="15.75" customHeight="1">
      <c r="A73" s="8" t="s">
        <v>124</v>
      </c>
      <c r="B73" s="8" t="s">
        <v>125</v>
      </c>
      <c r="C73" s="9">
        <v>0.0</v>
      </c>
      <c r="D73" s="9">
        <v>0.0</v>
      </c>
      <c r="E73" s="9">
        <v>0.0</v>
      </c>
      <c r="F73" s="9">
        <v>0.0</v>
      </c>
      <c r="G73" s="9">
        <v>0.0</v>
      </c>
    </row>
    <row r="74" ht="15.75" customHeight="1">
      <c r="A74" s="8" t="s">
        <v>126</v>
      </c>
      <c r="B74" s="8" t="s">
        <v>127</v>
      </c>
      <c r="C74" s="9">
        <v>0.0</v>
      </c>
      <c r="D74" s="9">
        <v>0.0</v>
      </c>
      <c r="E74" s="9">
        <v>0.0</v>
      </c>
      <c r="F74" s="9">
        <v>0.0</v>
      </c>
      <c r="G74" s="9">
        <v>0.0</v>
      </c>
    </row>
    <row r="75" ht="15.75" customHeight="1">
      <c r="A75" s="8"/>
      <c r="B75" s="8"/>
      <c r="C75" s="9"/>
      <c r="D75" s="9"/>
      <c r="E75" s="9"/>
      <c r="F75" s="9"/>
      <c r="G75" s="9"/>
    </row>
    <row r="76" ht="15.75" customHeight="1">
      <c r="A76" s="6" t="s">
        <v>128</v>
      </c>
      <c r="B76" s="6" t="s">
        <v>129</v>
      </c>
      <c r="C76" s="7">
        <v>6.969104731552862E7</v>
      </c>
      <c r="D76" s="7">
        <v>6.56188805129077E7</v>
      </c>
      <c r="E76" s="7">
        <v>5.792092921961301E7</v>
      </c>
      <c r="F76" s="7">
        <v>5.46129247336E7</v>
      </c>
      <c r="G76" s="7">
        <v>7.3219718E7</v>
      </c>
    </row>
    <row r="77" ht="15.75" customHeight="1">
      <c r="A77" s="6" t="s">
        <v>130</v>
      </c>
      <c r="B77" s="6" t="s">
        <v>131</v>
      </c>
      <c r="C77" s="7">
        <v>1.608462791634959E7</v>
      </c>
      <c r="D77" s="7">
        <v>1.827963744694333E7</v>
      </c>
      <c r="E77" s="7">
        <v>1.837366944346336E7</v>
      </c>
      <c r="F77" s="7">
        <v>1.85659457574E7</v>
      </c>
      <c r="G77" s="7">
        <v>2.7347016E7</v>
      </c>
    </row>
    <row r="78" ht="15.75" customHeight="1">
      <c r="A78" s="8" t="s">
        <v>132</v>
      </c>
      <c r="B78" s="8" t="s">
        <v>133</v>
      </c>
      <c r="C78" s="9">
        <v>0.0</v>
      </c>
      <c r="D78" s="9">
        <v>0.0</v>
      </c>
      <c r="E78" s="9">
        <v>0.0</v>
      </c>
      <c r="F78" s="9">
        <v>0.0</v>
      </c>
      <c r="G78" s="9">
        <v>0.0</v>
      </c>
    </row>
    <row r="79" ht="15.75" customHeight="1">
      <c r="A79" s="8" t="s">
        <v>134</v>
      </c>
      <c r="B79" s="8" t="s">
        <v>135</v>
      </c>
      <c r="C79" s="9">
        <v>0.0</v>
      </c>
      <c r="D79" s="9">
        <v>0.0</v>
      </c>
      <c r="E79" s="9">
        <v>0.0</v>
      </c>
      <c r="F79" s="9">
        <v>0.0</v>
      </c>
      <c r="G79" s="9">
        <v>0.0</v>
      </c>
    </row>
    <row r="80" ht="15.75" customHeight="1">
      <c r="A80" s="8" t="s">
        <v>136</v>
      </c>
      <c r="B80" s="8" t="s">
        <v>137</v>
      </c>
      <c r="C80" s="9">
        <v>0.0</v>
      </c>
      <c r="D80" s="9">
        <v>0.0</v>
      </c>
      <c r="E80" s="9">
        <v>0.0</v>
      </c>
      <c r="F80" s="9">
        <v>0.0</v>
      </c>
      <c r="G80" s="9">
        <v>0.0</v>
      </c>
    </row>
    <row r="81" ht="15.75" customHeight="1">
      <c r="A81" s="8" t="s">
        <v>138</v>
      </c>
      <c r="B81" s="8" t="s">
        <v>139</v>
      </c>
      <c r="C81" s="9">
        <v>3326234.649042205</v>
      </c>
      <c r="D81" s="9">
        <v>3295780.126959153</v>
      </c>
      <c r="E81" s="9">
        <v>4379905.433120601</v>
      </c>
      <c r="F81" s="9">
        <v>4176279.7472</v>
      </c>
      <c r="G81" s="9">
        <v>6251565.0</v>
      </c>
    </row>
    <row r="82" ht="15.75" customHeight="1">
      <c r="A82" s="8" t="s">
        <v>140</v>
      </c>
      <c r="B82" s="8" t="s">
        <v>141</v>
      </c>
      <c r="C82" s="9">
        <v>359465.6334511356</v>
      </c>
      <c r="D82" s="9">
        <v>519940.0537215827</v>
      </c>
      <c r="E82" s="9">
        <v>556466.7819682</v>
      </c>
      <c r="F82" s="9">
        <v>567687.9978</v>
      </c>
      <c r="G82" s="9">
        <v>846049.0</v>
      </c>
    </row>
    <row r="83" ht="15.75" customHeight="1">
      <c r="A83" s="8" t="s">
        <v>142</v>
      </c>
      <c r="B83" s="8" t="s">
        <v>139</v>
      </c>
      <c r="C83" s="9">
        <v>359465.6334511356</v>
      </c>
      <c r="D83" s="9">
        <v>501718.0557761787</v>
      </c>
      <c r="E83" s="9">
        <v>513252.3732081201</v>
      </c>
      <c r="F83" s="9">
        <v>474629.554</v>
      </c>
      <c r="G83" s="9">
        <v>719764.0</v>
      </c>
    </row>
    <row r="84" ht="15.75" customHeight="1">
      <c r="A84" s="8" t="s">
        <v>143</v>
      </c>
      <c r="B84" s="8" t="s">
        <v>144</v>
      </c>
      <c r="C84" s="9">
        <v>0.0</v>
      </c>
      <c r="D84" s="9">
        <v>18221.99794540401</v>
      </c>
      <c r="E84" s="9">
        <v>43214.40876008</v>
      </c>
      <c r="F84" s="9">
        <v>93058.4438</v>
      </c>
      <c r="G84" s="9"/>
    </row>
    <row r="85" ht="15.75" customHeight="1">
      <c r="A85" s="8" t="s">
        <v>143</v>
      </c>
      <c r="B85" s="8" t="s">
        <v>145</v>
      </c>
      <c r="C85" s="9"/>
      <c r="D85" s="9"/>
      <c r="E85" s="9"/>
      <c r="F85" s="9">
        <v>93058.4438</v>
      </c>
      <c r="G85" s="9">
        <v>126285.0</v>
      </c>
    </row>
    <row r="86" ht="15.75" customHeight="1">
      <c r="A86" s="8" t="s">
        <v>146</v>
      </c>
      <c r="B86" s="8" t="s">
        <v>147</v>
      </c>
      <c r="C86" s="9">
        <v>2966769.01559107</v>
      </c>
      <c r="D86" s="9">
        <v>2775840.07323757</v>
      </c>
      <c r="E86" s="9">
        <v>3823438.6511524</v>
      </c>
      <c r="F86" s="9">
        <v>3608591.7494</v>
      </c>
      <c r="G86" s="9">
        <v>5405516.0</v>
      </c>
    </row>
    <row r="87" ht="15.75" customHeight="1">
      <c r="A87" s="8" t="s">
        <v>148</v>
      </c>
      <c r="B87" s="8" t="s">
        <v>139</v>
      </c>
      <c r="C87" s="9">
        <v>2966769.01559107</v>
      </c>
      <c r="D87" s="9">
        <v>2698428.134962169</v>
      </c>
      <c r="E87" s="9">
        <v>3709742.79166296</v>
      </c>
      <c r="F87" s="9">
        <v>3511316.0734</v>
      </c>
      <c r="G87" s="9">
        <v>5263775.0</v>
      </c>
    </row>
    <row r="88" ht="15.75" customHeight="1">
      <c r="A88" s="8" t="s">
        <v>149</v>
      </c>
      <c r="B88" s="8" t="s">
        <v>145</v>
      </c>
      <c r="C88" s="9"/>
      <c r="D88" s="9"/>
      <c r="E88" s="9"/>
      <c r="F88" s="9">
        <v>97275.676</v>
      </c>
      <c r="G88" s="9">
        <v>141741.0</v>
      </c>
    </row>
    <row r="89" ht="15.75" customHeight="1">
      <c r="A89" s="8" t="s">
        <v>149</v>
      </c>
      <c r="B89" s="8" t="s">
        <v>144</v>
      </c>
      <c r="C89" s="9">
        <v>0.0</v>
      </c>
      <c r="D89" s="9">
        <v>77411.938275401</v>
      </c>
      <c r="E89" s="9">
        <v>113695.85948944</v>
      </c>
      <c r="F89" s="9">
        <v>97275.676</v>
      </c>
      <c r="G89" s="9"/>
    </row>
    <row r="90" ht="15.75" customHeight="1">
      <c r="A90" s="8" t="s">
        <v>150</v>
      </c>
      <c r="B90" s="8" t="s">
        <v>151</v>
      </c>
      <c r="C90" s="9">
        <v>745801.8544248444</v>
      </c>
      <c r="D90" s="9">
        <v>723575.5413411085</v>
      </c>
      <c r="E90" s="9">
        <v>882084.2106615601</v>
      </c>
      <c r="F90" s="9">
        <v>1206372.1738</v>
      </c>
      <c r="G90" s="9">
        <v>1055536.0</v>
      </c>
    </row>
    <row r="91" ht="15.75" customHeight="1">
      <c r="A91" s="8" t="s">
        <v>152</v>
      </c>
      <c r="B91" s="8" t="s">
        <v>153</v>
      </c>
      <c r="C91" s="9">
        <v>730809.8889699925</v>
      </c>
      <c r="D91" s="9">
        <v>717549.788191977</v>
      </c>
      <c r="E91" s="9">
        <v>864340.7128547201</v>
      </c>
      <c r="F91" s="9">
        <v>1197483.6586</v>
      </c>
      <c r="G91" s="9">
        <v>1046413.0</v>
      </c>
    </row>
    <row r="92" ht="15.75" customHeight="1">
      <c r="A92" s="8" t="s">
        <v>154</v>
      </c>
      <c r="B92" s="8" t="s">
        <v>155</v>
      </c>
      <c r="C92" s="9">
        <v>269724.1156540245</v>
      </c>
      <c r="D92" s="9">
        <v>462343.3947776743</v>
      </c>
      <c r="E92" s="9">
        <v>612418.2880065601</v>
      </c>
      <c r="F92" s="9">
        <v>990635.2718</v>
      </c>
      <c r="G92" s="9">
        <v>771953.0</v>
      </c>
    </row>
    <row r="93" ht="15.75" customHeight="1">
      <c r="A93" s="8" t="s">
        <v>156</v>
      </c>
      <c r="B93" s="8" t="s">
        <v>53</v>
      </c>
      <c r="C93" s="9">
        <v>461085.773315968</v>
      </c>
      <c r="D93" s="9">
        <v>255206.3934143027</v>
      </c>
      <c r="E93" s="9">
        <v>251922.42484816</v>
      </c>
      <c r="F93" s="9">
        <v>206848.3868</v>
      </c>
      <c r="G93" s="9">
        <v>274460.0</v>
      </c>
    </row>
    <row r="94" ht="15.75" customHeight="1">
      <c r="A94" s="8" t="s">
        <v>157</v>
      </c>
      <c r="B94" s="8" t="s">
        <v>158</v>
      </c>
      <c r="C94" s="9">
        <v>591.3185966551573</v>
      </c>
      <c r="D94" s="9">
        <v>536.1113966271881</v>
      </c>
      <c r="E94" s="9">
        <v>1622.10004008</v>
      </c>
      <c r="F94" s="9">
        <v>238.5336</v>
      </c>
      <c r="G94" s="9">
        <v>0.0</v>
      </c>
    </row>
    <row r="95" ht="15.75" customHeight="1">
      <c r="A95" s="8" t="s">
        <v>159</v>
      </c>
      <c r="B95" s="8" t="s">
        <v>160</v>
      </c>
      <c r="C95" s="9">
        <v>14400.64685819672</v>
      </c>
      <c r="D95" s="9">
        <v>5489.641752504317</v>
      </c>
      <c r="E95" s="9">
        <v>16121.39776676</v>
      </c>
      <c r="F95" s="9">
        <v>8649.981600000001</v>
      </c>
      <c r="G95" s="9">
        <v>9123.0</v>
      </c>
    </row>
    <row r="96" ht="15.75" customHeight="1">
      <c r="A96" s="8" t="s">
        <v>161</v>
      </c>
      <c r="B96" s="8" t="s">
        <v>162</v>
      </c>
      <c r="C96" s="9">
        <v>2486648.900551736</v>
      </c>
      <c r="D96" s="9">
        <v>3710356.343669741</v>
      </c>
      <c r="E96" s="9">
        <v>1762042.83544064</v>
      </c>
      <c r="F96" s="9">
        <v>643535.4054</v>
      </c>
      <c r="G96" s="9">
        <v>704419.0</v>
      </c>
    </row>
    <row r="97" ht="15.75" customHeight="1">
      <c r="A97" s="8" t="s">
        <v>163</v>
      </c>
      <c r="B97" s="8" t="s">
        <v>162</v>
      </c>
      <c r="C97" s="9">
        <v>2486648.900551736</v>
      </c>
      <c r="D97" s="9">
        <v>3710356.343669741</v>
      </c>
      <c r="E97" s="9">
        <v>1762042.83544064</v>
      </c>
      <c r="F97" s="9">
        <v>643535.4054</v>
      </c>
      <c r="G97" s="9">
        <v>704419.0</v>
      </c>
    </row>
    <row r="98" ht="15.75" customHeight="1">
      <c r="A98" s="8" t="s">
        <v>164</v>
      </c>
      <c r="B98" s="8" t="s">
        <v>165</v>
      </c>
      <c r="C98" s="9">
        <v>79943.98035942817</v>
      </c>
      <c r="D98" s="9">
        <v>53678.29832579522</v>
      </c>
      <c r="E98" s="9">
        <v>37162.72784132</v>
      </c>
      <c r="F98" s="9">
        <v>1021.0912</v>
      </c>
      <c r="G98" s="9">
        <v>1118.0</v>
      </c>
    </row>
    <row r="99" ht="15.75" customHeight="1">
      <c r="A99" s="8" t="s">
        <v>166</v>
      </c>
      <c r="B99" s="8" t="s">
        <v>167</v>
      </c>
      <c r="C99" s="9">
        <v>2406704.920192308</v>
      </c>
      <c r="D99" s="9">
        <v>3656678.045343945</v>
      </c>
      <c r="E99" s="9">
        <v>1724880.10759932</v>
      </c>
      <c r="F99" s="9">
        <v>642514.3142</v>
      </c>
      <c r="G99" s="9">
        <v>703301.0</v>
      </c>
    </row>
    <row r="100" ht="15.75" customHeight="1">
      <c r="A100" s="8" t="s">
        <v>168</v>
      </c>
      <c r="B100" s="8" t="s">
        <v>169</v>
      </c>
      <c r="C100" s="9">
        <v>0.0</v>
      </c>
      <c r="D100" s="9">
        <v>0.0</v>
      </c>
      <c r="E100" s="9">
        <v>0.0</v>
      </c>
      <c r="F100" s="9">
        <v>0.0</v>
      </c>
      <c r="G100" s="9">
        <v>0.0</v>
      </c>
    </row>
    <row r="101" ht="15.75" customHeight="1">
      <c r="A101" s="8" t="s">
        <v>170</v>
      </c>
      <c r="B101" s="8" t="s">
        <v>171</v>
      </c>
      <c r="C101" s="9">
        <v>0.0</v>
      </c>
      <c r="D101" s="9">
        <v>0.0</v>
      </c>
      <c r="E101" s="9">
        <v>0.0</v>
      </c>
      <c r="F101" s="9">
        <v>0.0</v>
      </c>
      <c r="G101" s="9">
        <v>0.0</v>
      </c>
    </row>
    <row r="102" ht="15.75" customHeight="1">
      <c r="A102" s="8" t="s">
        <v>172</v>
      </c>
      <c r="B102" s="8" t="s">
        <v>173</v>
      </c>
      <c r="C102" s="9">
        <v>8873329.410194345</v>
      </c>
      <c r="D102" s="9">
        <v>9554074.778624658</v>
      </c>
      <c r="E102" s="9">
        <v>1.062693557512848E7</v>
      </c>
      <c r="F102" s="9">
        <v>1.19584991268E7</v>
      </c>
      <c r="G102" s="9">
        <v>1.877676E7</v>
      </c>
    </row>
    <row r="103" ht="15.75" customHeight="1">
      <c r="A103" s="8" t="s">
        <v>174</v>
      </c>
      <c r="B103" s="8" t="s">
        <v>175</v>
      </c>
      <c r="C103" s="9">
        <v>0.0</v>
      </c>
      <c r="D103" s="9">
        <v>0.0</v>
      </c>
      <c r="E103" s="9">
        <v>0.0</v>
      </c>
      <c r="F103" s="9">
        <v>0.0</v>
      </c>
      <c r="G103" s="9">
        <v>0.0</v>
      </c>
    </row>
    <row r="104" ht="15.75" customHeight="1">
      <c r="A104" s="8" t="s">
        <v>176</v>
      </c>
      <c r="B104" s="8" t="s">
        <v>177</v>
      </c>
      <c r="C104" s="9">
        <v>0.0</v>
      </c>
      <c r="D104" s="9">
        <v>0.0</v>
      </c>
      <c r="E104" s="9">
        <v>0.0</v>
      </c>
      <c r="F104" s="9">
        <v>0.0</v>
      </c>
      <c r="G104" s="9">
        <v>0.0</v>
      </c>
    </row>
    <row r="105" ht="15.75" customHeight="1">
      <c r="A105" s="8" t="s">
        <v>178</v>
      </c>
      <c r="B105" s="8" t="s">
        <v>179</v>
      </c>
      <c r="C105" s="9">
        <v>0.0</v>
      </c>
      <c r="D105" s="9">
        <v>0.0</v>
      </c>
      <c r="E105" s="9">
        <v>0.0</v>
      </c>
      <c r="F105" s="9">
        <v>0.0</v>
      </c>
      <c r="G105" s="9">
        <v>0.0</v>
      </c>
    </row>
    <row r="106" ht="15.75" customHeight="1">
      <c r="A106" s="8" t="s">
        <v>180</v>
      </c>
      <c r="B106" s="8" t="s">
        <v>181</v>
      </c>
      <c r="C106" s="9">
        <v>0.0</v>
      </c>
      <c r="D106" s="9">
        <v>0.0</v>
      </c>
      <c r="E106" s="9">
        <v>0.0</v>
      </c>
      <c r="F106" s="9">
        <v>0.0</v>
      </c>
      <c r="G106" s="9">
        <v>0.0</v>
      </c>
    </row>
    <row r="107" ht="15.75" customHeight="1">
      <c r="A107" s="8" t="s">
        <v>182</v>
      </c>
      <c r="B107" s="8" t="s">
        <v>53</v>
      </c>
      <c r="C107" s="9">
        <v>8873329.410194345</v>
      </c>
      <c r="D107" s="9">
        <v>9554074.778624658</v>
      </c>
      <c r="E107" s="9">
        <v>1.062693557512848E7</v>
      </c>
      <c r="F107" s="9">
        <v>1.19584991268E7</v>
      </c>
      <c r="G107" s="9">
        <v>1.877676E7</v>
      </c>
    </row>
    <row r="108" ht="15.75" customHeight="1">
      <c r="A108" s="8" t="s">
        <v>183</v>
      </c>
      <c r="B108" s="8" t="s">
        <v>184</v>
      </c>
      <c r="C108" s="9">
        <v>7933.099707280936</v>
      </c>
      <c r="D108" s="9">
        <v>108.843350503144</v>
      </c>
      <c r="E108" s="9">
        <v>0.0</v>
      </c>
      <c r="F108" s="9">
        <v>0.0</v>
      </c>
      <c r="G108" s="9">
        <v>0.0</v>
      </c>
    </row>
    <row r="109" ht="15.75" customHeight="1">
      <c r="A109" s="8" t="s">
        <v>185</v>
      </c>
      <c r="B109" s="8" t="s">
        <v>186</v>
      </c>
      <c r="C109" s="9">
        <v>0.0</v>
      </c>
      <c r="D109" s="9">
        <v>0.0</v>
      </c>
      <c r="E109" s="9">
        <v>0.0</v>
      </c>
      <c r="F109" s="9">
        <v>0.0</v>
      </c>
      <c r="G109" s="9">
        <v>0.0</v>
      </c>
    </row>
    <row r="110" ht="15.75" customHeight="1">
      <c r="A110" s="8" t="s">
        <v>187</v>
      </c>
      <c r="B110" s="8" t="s">
        <v>188</v>
      </c>
      <c r="C110" s="9">
        <v>0.0</v>
      </c>
      <c r="D110" s="9">
        <v>0.0</v>
      </c>
      <c r="E110" s="9">
        <v>0.0</v>
      </c>
      <c r="F110" s="9">
        <v>0.0</v>
      </c>
      <c r="G110" s="9">
        <v>0.0</v>
      </c>
    </row>
    <row r="111" ht="15.75" customHeight="1">
      <c r="A111" s="8" t="s">
        <v>189</v>
      </c>
      <c r="B111" s="8" t="s">
        <v>190</v>
      </c>
      <c r="C111" s="9">
        <v>1654450.811338875</v>
      </c>
      <c r="D111" s="9">
        <v>1558985.309508229</v>
      </c>
      <c r="E111" s="9">
        <v>1826714.49736248</v>
      </c>
      <c r="F111" s="9">
        <v>1683123.4214</v>
      </c>
      <c r="G111" s="9">
        <v>2227804.0</v>
      </c>
    </row>
    <row r="112" ht="15.75" customHeight="1">
      <c r="A112" s="8" t="s">
        <v>191</v>
      </c>
      <c r="B112" s="8" t="s">
        <v>192</v>
      </c>
      <c r="C112" s="9">
        <v>0.0</v>
      </c>
      <c r="D112" s="9">
        <v>0.0</v>
      </c>
      <c r="E112" s="9">
        <v>0.0</v>
      </c>
      <c r="F112" s="9">
        <v>0.0</v>
      </c>
      <c r="G112" s="9">
        <v>0.0</v>
      </c>
    </row>
    <row r="113" ht="15.75" customHeight="1">
      <c r="A113" s="8" t="s">
        <v>193</v>
      </c>
      <c r="B113" s="8" t="s">
        <v>194</v>
      </c>
      <c r="C113" s="9">
        <v>0.0</v>
      </c>
      <c r="D113" s="9">
        <v>0.0</v>
      </c>
      <c r="E113" s="9">
        <v>0.0</v>
      </c>
      <c r="F113" s="9">
        <v>0.0</v>
      </c>
      <c r="G113" s="9">
        <v>0.0</v>
      </c>
    </row>
    <row r="114" ht="15.75" customHeight="1">
      <c r="A114" s="8" t="s">
        <v>195</v>
      </c>
      <c r="B114" s="8" t="s">
        <v>196</v>
      </c>
      <c r="C114" s="9">
        <v>0.0</v>
      </c>
      <c r="D114" s="9">
        <v>0.0</v>
      </c>
      <c r="E114" s="9">
        <v>0.0</v>
      </c>
      <c r="F114" s="9">
        <v>0.0</v>
      </c>
      <c r="G114" s="9">
        <v>0.0</v>
      </c>
    </row>
    <row r="115" ht="15.75" customHeight="1">
      <c r="A115" s="8" t="s">
        <v>197</v>
      </c>
      <c r="B115" s="8" t="s">
        <v>198</v>
      </c>
      <c r="C115" s="9">
        <v>0.0</v>
      </c>
      <c r="D115" s="9">
        <v>0.0</v>
      </c>
      <c r="E115" s="9">
        <v>0.0</v>
      </c>
      <c r="F115" s="9">
        <v>0.0</v>
      </c>
      <c r="G115" s="9">
        <v>0.0</v>
      </c>
    </row>
    <row r="116" ht="15.75" customHeight="1">
      <c r="A116" s="8" t="s">
        <v>199</v>
      </c>
      <c r="B116" s="8" t="s">
        <v>200</v>
      </c>
      <c r="C116" s="9">
        <v>8247.874908517624</v>
      </c>
      <c r="D116" s="9">
        <v>18593.68640829241</v>
      </c>
      <c r="E116" s="9">
        <v>327774.7560746</v>
      </c>
      <c r="F116" s="9">
        <v>433989.915</v>
      </c>
      <c r="G116" s="9">
        <v>445094.0</v>
      </c>
    </row>
    <row r="117" ht="15.75" customHeight="1">
      <c r="A117" s="8" t="s">
        <v>201</v>
      </c>
      <c r="B117" s="8" t="s">
        <v>202</v>
      </c>
      <c r="C117" s="9">
        <v>3333.813467348904</v>
      </c>
      <c r="D117" s="9">
        <v>16299.87069183786</v>
      </c>
      <c r="E117" s="9">
        <v>14943.67870932</v>
      </c>
      <c r="F117" s="9">
        <v>52074.605</v>
      </c>
      <c r="G117" s="9">
        <v>111766.0</v>
      </c>
    </row>
    <row r="118" ht="15.75" customHeight="1">
      <c r="A118" s="8" t="s">
        <v>203</v>
      </c>
      <c r="B118" s="8" t="s">
        <v>204</v>
      </c>
      <c r="C118" s="9">
        <v>282183.8611701829</v>
      </c>
      <c r="D118" s="9">
        <v>102095.0627719491</v>
      </c>
      <c r="E118" s="9">
        <v>0.0</v>
      </c>
      <c r="F118" s="9">
        <v>0.0</v>
      </c>
      <c r="G118" s="9">
        <v>0.0</v>
      </c>
    </row>
    <row r="119" ht="15.75" customHeight="1">
      <c r="A119" s="8" t="s">
        <v>205</v>
      </c>
      <c r="B119" s="8" t="s">
        <v>206</v>
      </c>
      <c r="C119" s="9">
        <v>6841500.089984969</v>
      </c>
      <c r="D119" s="9">
        <v>7783616.102352692</v>
      </c>
      <c r="E119" s="9">
        <v>8389237.62449372</v>
      </c>
      <c r="F119" s="9">
        <v>9719617.5262</v>
      </c>
      <c r="G119" s="9">
        <v>1.5873343E7</v>
      </c>
    </row>
    <row r="120" ht="15.75" customHeight="1">
      <c r="A120" s="8" t="s">
        <v>207</v>
      </c>
      <c r="B120" s="8" t="s">
        <v>208</v>
      </c>
      <c r="C120" s="9">
        <v>75679.85961716922</v>
      </c>
      <c r="D120" s="9">
        <v>74375.90354115372</v>
      </c>
      <c r="E120" s="9">
        <v>68265.01848836</v>
      </c>
      <c r="F120" s="9">
        <v>69693.6592</v>
      </c>
      <c r="G120" s="9">
        <v>118753.0</v>
      </c>
    </row>
    <row r="121" ht="15.75" customHeight="1">
      <c r="A121" s="8" t="s">
        <v>209</v>
      </c>
      <c r="B121" s="8" t="s">
        <v>210</v>
      </c>
      <c r="C121" s="9">
        <v>652613.1021364571</v>
      </c>
      <c r="D121" s="9">
        <v>704213.0040313896</v>
      </c>
      <c r="E121" s="9">
        <v>722701.3891120801</v>
      </c>
      <c r="F121" s="9">
        <v>581259.3042</v>
      </c>
      <c r="G121" s="9">
        <v>558736.0</v>
      </c>
    </row>
    <row r="122" ht="15.75" customHeight="1">
      <c r="A122" s="8" t="s">
        <v>211</v>
      </c>
      <c r="B122" s="8" t="s">
        <v>212</v>
      </c>
      <c r="C122" s="9">
        <v>110427.4735318233</v>
      </c>
      <c r="D122" s="9">
        <v>120515.0629826301</v>
      </c>
      <c r="E122" s="9">
        <v>107067.3589208</v>
      </c>
      <c r="F122" s="9">
        <v>42387.8392</v>
      </c>
      <c r="G122" s="9">
        <v>59713.0</v>
      </c>
    </row>
    <row r="123" ht="15.75" customHeight="1">
      <c r="A123" s="8" t="s">
        <v>213</v>
      </c>
      <c r="B123" s="8" t="s">
        <v>214</v>
      </c>
      <c r="C123" s="9">
        <v>27881.18158970158</v>
      </c>
      <c r="D123" s="9">
        <v>47094.43352833908</v>
      </c>
      <c r="E123" s="9">
        <v>26628.92839076</v>
      </c>
      <c r="F123" s="9">
        <v>5364.9136</v>
      </c>
      <c r="G123" s="9">
        <v>13792.0</v>
      </c>
    </row>
    <row r="124" ht="15.75" customHeight="1">
      <c r="A124" s="8" t="s">
        <v>215</v>
      </c>
      <c r="B124" s="8" t="s">
        <v>216</v>
      </c>
      <c r="C124" s="9">
        <v>82546.29194212177</v>
      </c>
      <c r="D124" s="9">
        <v>73420.62945429102</v>
      </c>
      <c r="E124" s="9">
        <v>80427.48518564</v>
      </c>
      <c r="F124" s="9">
        <v>37011.4174</v>
      </c>
      <c r="G124" s="9">
        <v>38585.0</v>
      </c>
    </row>
    <row r="125" ht="15.75" customHeight="1">
      <c r="A125" s="8" t="s">
        <v>217</v>
      </c>
      <c r="B125" s="8" t="s">
        <v>218</v>
      </c>
      <c r="C125" s="9">
        <v>0.0</v>
      </c>
      <c r="D125" s="9">
        <v>0.0</v>
      </c>
      <c r="E125" s="9">
        <v>0.0</v>
      </c>
      <c r="F125" s="9">
        <v>0.0</v>
      </c>
      <c r="G125" s="9">
        <v>7336.0</v>
      </c>
    </row>
    <row r="126" ht="15.75" customHeight="1">
      <c r="A126" s="8" t="s">
        <v>219</v>
      </c>
      <c r="B126" s="8" t="s">
        <v>220</v>
      </c>
      <c r="C126" s="9">
        <v>0.0</v>
      </c>
      <c r="D126" s="9">
        <v>0.0</v>
      </c>
      <c r="E126" s="9">
        <v>10.9453444</v>
      </c>
      <c r="F126" s="9">
        <v>11.5082</v>
      </c>
      <c r="G126" s="9">
        <v>0.0</v>
      </c>
    </row>
    <row r="127" ht="15.75" customHeight="1">
      <c r="A127" s="8" t="s">
        <v>221</v>
      </c>
      <c r="B127" s="8" t="s">
        <v>222</v>
      </c>
      <c r="C127" s="9">
        <v>542185.6286046337</v>
      </c>
      <c r="D127" s="9">
        <v>583697.9410487595</v>
      </c>
      <c r="E127" s="9">
        <v>615634.0301912801</v>
      </c>
      <c r="F127" s="9">
        <v>538871.465</v>
      </c>
      <c r="G127" s="9">
        <v>499023.0</v>
      </c>
    </row>
    <row r="128" ht="15.75" customHeight="1">
      <c r="A128" s="8" t="s">
        <v>223</v>
      </c>
      <c r="B128" s="8" t="s">
        <v>224</v>
      </c>
      <c r="C128" s="9">
        <v>178655.9541950212</v>
      </c>
      <c r="D128" s="9">
        <v>206355.4134741203</v>
      </c>
      <c r="E128" s="9">
        <v>166817.9940004</v>
      </c>
      <c r="F128" s="9">
        <v>137322.1196</v>
      </c>
      <c r="G128" s="9">
        <v>154601.0</v>
      </c>
    </row>
    <row r="129" ht="15.75" customHeight="1">
      <c r="A129" s="8" t="s">
        <v>225</v>
      </c>
      <c r="B129" s="8" t="s">
        <v>226</v>
      </c>
      <c r="C129" s="9">
        <v>0.0</v>
      </c>
      <c r="D129" s="9">
        <v>0.0</v>
      </c>
      <c r="E129" s="9">
        <v>0.0</v>
      </c>
      <c r="F129" s="9">
        <v>0.0</v>
      </c>
      <c r="G129" s="9">
        <v>0.0</v>
      </c>
    </row>
    <row r="130" ht="15.75" customHeight="1">
      <c r="A130" s="8" t="s">
        <v>227</v>
      </c>
      <c r="B130" s="8" t="s">
        <v>228</v>
      </c>
      <c r="C130" s="9">
        <v>7174.835558552878</v>
      </c>
      <c r="D130" s="9">
        <v>3672.884125489073</v>
      </c>
      <c r="E130" s="9">
        <v>1638.51805668</v>
      </c>
      <c r="F130" s="9">
        <v>0.0</v>
      </c>
      <c r="G130" s="9">
        <v>0.0</v>
      </c>
    </row>
    <row r="131" ht="15.75" customHeight="1">
      <c r="A131" s="8" t="s">
        <v>229</v>
      </c>
      <c r="B131" s="8" t="s">
        <v>222</v>
      </c>
      <c r="C131" s="9">
        <v>356354.8388510596</v>
      </c>
      <c r="D131" s="9">
        <v>373669.6434491501</v>
      </c>
      <c r="E131" s="9">
        <v>447177.5181342001</v>
      </c>
      <c r="F131" s="9">
        <v>401549.3454</v>
      </c>
      <c r="G131" s="9">
        <v>344422.0</v>
      </c>
    </row>
    <row r="132" ht="15.75" customHeight="1">
      <c r="A132" s="8" t="s">
        <v>230</v>
      </c>
      <c r="B132" s="8" t="s">
        <v>231</v>
      </c>
      <c r="C132" s="9">
        <v>0.0</v>
      </c>
      <c r="D132" s="9">
        <v>291637.6523172859</v>
      </c>
      <c r="E132" s="9">
        <v>0.0</v>
      </c>
      <c r="F132" s="9">
        <v>0.0</v>
      </c>
      <c r="G132" s="9">
        <v>0.0</v>
      </c>
    </row>
    <row r="133" ht="15.75" customHeight="1">
      <c r="A133" s="8" t="s">
        <v>232</v>
      </c>
      <c r="B133" s="8" t="s">
        <v>233</v>
      </c>
      <c r="C133" s="9">
        <v>0.0</v>
      </c>
      <c r="D133" s="9">
        <v>0.0</v>
      </c>
      <c r="E133" s="9">
        <v>0.0</v>
      </c>
      <c r="F133" s="9">
        <v>0.0</v>
      </c>
      <c r="G133" s="9">
        <v>0.0</v>
      </c>
    </row>
    <row r="134" ht="15.75" customHeight="1">
      <c r="A134" s="8" t="s">
        <v>234</v>
      </c>
      <c r="B134" s="8" t="s">
        <v>235</v>
      </c>
      <c r="C134" s="9">
        <v>0.0</v>
      </c>
      <c r="D134" s="9">
        <v>291637.6523172859</v>
      </c>
      <c r="E134" s="9">
        <v>0.0</v>
      </c>
      <c r="F134" s="9">
        <v>0.0</v>
      </c>
      <c r="G134" s="9">
        <v>0.0</v>
      </c>
    </row>
    <row r="135" ht="15.75" customHeight="1">
      <c r="A135" s="8" t="s">
        <v>236</v>
      </c>
      <c r="B135" s="8" t="s">
        <v>237</v>
      </c>
      <c r="C135" s="9">
        <v>0.0</v>
      </c>
      <c r="D135" s="9">
        <v>291637.6523172859</v>
      </c>
      <c r="E135" s="9">
        <v>0.0</v>
      </c>
      <c r="F135" s="9">
        <v>0.0</v>
      </c>
      <c r="G135" s="9">
        <v>0.0</v>
      </c>
    </row>
    <row r="136" ht="15.75" customHeight="1">
      <c r="A136" s="8"/>
      <c r="B136" s="8"/>
      <c r="C136" s="9"/>
      <c r="D136" s="9"/>
      <c r="E136" s="9"/>
      <c r="F136" s="9"/>
      <c r="G136" s="9"/>
    </row>
    <row r="137" ht="15.75" customHeight="1">
      <c r="A137" s="6" t="s">
        <v>238</v>
      </c>
      <c r="B137" s="6" t="s">
        <v>239</v>
      </c>
      <c r="C137" s="7">
        <v>3.430505782322473E7</v>
      </c>
      <c r="D137" s="7">
        <v>2.940955667532437E7</v>
      </c>
      <c r="E137" s="7">
        <v>2.3417345436912E7</v>
      </c>
      <c r="F137" s="7">
        <v>2.06529515502E7</v>
      </c>
      <c r="G137" s="7">
        <v>2.5161794E7</v>
      </c>
    </row>
    <row r="138" ht="15.75" customHeight="1">
      <c r="A138" s="8" t="s">
        <v>240</v>
      </c>
      <c r="B138" s="8" t="s">
        <v>162</v>
      </c>
      <c r="C138" s="9">
        <v>2.697049870071801E7</v>
      </c>
      <c r="D138" s="9">
        <v>2.231020976988534E7</v>
      </c>
      <c r="E138" s="9">
        <v>1.653138738276076E7</v>
      </c>
      <c r="F138" s="9">
        <v>1.39755497104E7</v>
      </c>
      <c r="G138" s="9">
        <v>1.4720995E7</v>
      </c>
    </row>
    <row r="139" ht="15.75" customHeight="1">
      <c r="A139" s="8" t="s">
        <v>241</v>
      </c>
      <c r="B139" s="8" t="s">
        <v>162</v>
      </c>
      <c r="C139" s="9">
        <v>2.697049870071801E7</v>
      </c>
      <c r="D139" s="9">
        <v>2.231020976988534E7</v>
      </c>
      <c r="E139" s="9">
        <v>1.653138738276076E7</v>
      </c>
      <c r="F139" s="9">
        <v>1.39755497104E7</v>
      </c>
      <c r="G139" s="9">
        <v>1.4720995E7</v>
      </c>
    </row>
    <row r="140" ht="15.75" customHeight="1">
      <c r="A140" s="8" t="s">
        <v>242</v>
      </c>
      <c r="B140" s="8" t="s">
        <v>165</v>
      </c>
      <c r="C140" s="9">
        <v>472427.875708707</v>
      </c>
      <c r="D140" s="9">
        <v>64509.36960884213</v>
      </c>
      <c r="E140" s="9">
        <v>21890.6888</v>
      </c>
      <c r="F140" s="9">
        <v>87437.2112</v>
      </c>
      <c r="G140" s="9">
        <v>145531.0</v>
      </c>
    </row>
    <row r="141" ht="15.75" customHeight="1">
      <c r="A141" s="8" t="s">
        <v>243</v>
      </c>
      <c r="B141" s="8" t="s">
        <v>167</v>
      </c>
      <c r="C141" s="9">
        <v>2.649807082500931E7</v>
      </c>
      <c r="D141" s="9">
        <v>2.22457004002765E7</v>
      </c>
      <c r="E141" s="9">
        <v>1.650949669396076E7</v>
      </c>
      <c r="F141" s="9">
        <v>1.38881124992E7</v>
      </c>
      <c r="G141" s="9">
        <v>1.4575464E7</v>
      </c>
    </row>
    <row r="142" ht="15.75" customHeight="1">
      <c r="A142" s="8" t="s">
        <v>244</v>
      </c>
      <c r="B142" s="8" t="s">
        <v>169</v>
      </c>
      <c r="C142" s="9">
        <v>0.0</v>
      </c>
      <c r="D142" s="9">
        <v>0.0</v>
      </c>
      <c r="E142" s="9">
        <v>0.0</v>
      </c>
      <c r="F142" s="9">
        <v>0.0</v>
      </c>
      <c r="G142" s="9">
        <v>0.0</v>
      </c>
    </row>
    <row r="143" ht="15.75" customHeight="1">
      <c r="A143" s="8" t="s">
        <v>245</v>
      </c>
      <c r="B143" s="8" t="s">
        <v>171</v>
      </c>
      <c r="C143" s="9">
        <v>0.0</v>
      </c>
      <c r="D143" s="9">
        <v>0.0</v>
      </c>
      <c r="E143" s="9">
        <v>0.0</v>
      </c>
      <c r="F143" s="9">
        <v>0.0</v>
      </c>
      <c r="G143" s="9">
        <v>0.0</v>
      </c>
    </row>
    <row r="144" ht="15.75" customHeight="1">
      <c r="A144" s="8" t="s">
        <v>246</v>
      </c>
      <c r="B144" s="8" t="s">
        <v>173</v>
      </c>
      <c r="C144" s="9">
        <v>3054381.021804106</v>
      </c>
      <c r="D144" s="9">
        <v>2808033.388918836</v>
      </c>
      <c r="E144" s="9">
        <v>3782842.368772801</v>
      </c>
      <c r="F144" s="9">
        <v>4165145.0406</v>
      </c>
      <c r="G144" s="9">
        <v>6312040.0</v>
      </c>
    </row>
    <row r="145" ht="15.75" customHeight="1">
      <c r="A145" s="8" t="s">
        <v>247</v>
      </c>
      <c r="B145" s="8" t="s">
        <v>175</v>
      </c>
      <c r="C145" s="9">
        <v>0.0</v>
      </c>
      <c r="D145" s="9">
        <v>0.0</v>
      </c>
      <c r="E145" s="9">
        <v>0.0</v>
      </c>
      <c r="F145" s="9">
        <v>0.0</v>
      </c>
      <c r="G145" s="9">
        <v>0.0</v>
      </c>
    </row>
    <row r="146" ht="15.75" customHeight="1">
      <c r="A146" s="8" t="s">
        <v>248</v>
      </c>
      <c r="B146" s="8" t="s">
        <v>177</v>
      </c>
      <c r="C146" s="9">
        <v>0.0</v>
      </c>
      <c r="D146" s="9">
        <v>0.0</v>
      </c>
      <c r="E146" s="9">
        <v>0.0</v>
      </c>
      <c r="F146" s="9">
        <v>0.0</v>
      </c>
      <c r="G146" s="9">
        <v>0.0</v>
      </c>
    </row>
    <row r="147" ht="15.75" customHeight="1">
      <c r="A147" s="8" t="s">
        <v>249</v>
      </c>
      <c r="B147" s="8" t="s">
        <v>179</v>
      </c>
      <c r="C147" s="9">
        <v>0.0</v>
      </c>
      <c r="D147" s="9">
        <v>0.0</v>
      </c>
      <c r="E147" s="9">
        <v>0.0</v>
      </c>
      <c r="F147" s="9">
        <v>0.0</v>
      </c>
      <c r="G147" s="9">
        <v>0.0</v>
      </c>
    </row>
    <row r="148" ht="15.75" customHeight="1">
      <c r="A148" s="8" t="s">
        <v>250</v>
      </c>
      <c r="B148" s="8" t="s">
        <v>181</v>
      </c>
      <c r="C148" s="9">
        <v>0.0</v>
      </c>
      <c r="D148" s="9">
        <v>0.0</v>
      </c>
      <c r="E148" s="9">
        <v>0.0</v>
      </c>
      <c r="F148" s="9">
        <v>0.0</v>
      </c>
      <c r="G148" s="9">
        <v>0.0</v>
      </c>
    </row>
    <row r="149" ht="15.75" customHeight="1">
      <c r="A149" s="8" t="s">
        <v>251</v>
      </c>
      <c r="B149" s="8" t="s">
        <v>53</v>
      </c>
      <c r="C149" s="9">
        <v>3054381.021804106</v>
      </c>
      <c r="D149" s="9">
        <v>2808033.388918836</v>
      </c>
      <c r="E149" s="9">
        <v>3782842.368772801</v>
      </c>
      <c r="F149" s="9">
        <v>4165145.0406</v>
      </c>
      <c r="G149" s="9">
        <v>6312040.0</v>
      </c>
    </row>
    <row r="150" ht="15.75" customHeight="1">
      <c r="A150" s="8" t="s">
        <v>252</v>
      </c>
      <c r="B150" s="8" t="s">
        <v>188</v>
      </c>
      <c r="C150" s="9">
        <v>0.0</v>
      </c>
      <c r="D150" s="9">
        <v>0.0</v>
      </c>
      <c r="E150" s="9">
        <v>0.0</v>
      </c>
      <c r="F150" s="9">
        <v>0.0</v>
      </c>
      <c r="G150" s="9">
        <v>0.0</v>
      </c>
    </row>
    <row r="151" ht="15.75" customHeight="1">
      <c r="A151" s="8" t="s">
        <v>253</v>
      </c>
      <c r="B151" s="8" t="s">
        <v>254</v>
      </c>
      <c r="C151" s="9">
        <v>0.0</v>
      </c>
      <c r="D151" s="9">
        <v>0.0</v>
      </c>
      <c r="E151" s="9">
        <v>0.0</v>
      </c>
      <c r="F151" s="9">
        <v>0.0</v>
      </c>
      <c r="G151" s="9">
        <v>0.0</v>
      </c>
    </row>
    <row r="152" ht="15.75" customHeight="1">
      <c r="A152" s="8" t="s">
        <v>255</v>
      </c>
      <c r="B152" s="8" t="s">
        <v>190</v>
      </c>
      <c r="C152" s="9">
        <v>280463.4299083629</v>
      </c>
      <c r="D152" s="9">
        <v>372373.9444149691</v>
      </c>
      <c r="E152" s="9">
        <v>292029.45033308</v>
      </c>
      <c r="F152" s="9">
        <v>280569.916</v>
      </c>
      <c r="G152" s="9">
        <v>998237.0</v>
      </c>
    </row>
    <row r="153" ht="15.75" customHeight="1">
      <c r="A153" s="8" t="s">
        <v>256</v>
      </c>
      <c r="B153" s="8" t="s">
        <v>192</v>
      </c>
      <c r="C153" s="9">
        <v>0.0</v>
      </c>
      <c r="D153" s="9">
        <v>0.0</v>
      </c>
      <c r="E153" s="9">
        <v>0.0</v>
      </c>
      <c r="F153" s="9">
        <v>0.0</v>
      </c>
      <c r="G153" s="9">
        <v>0.0</v>
      </c>
    </row>
    <row r="154" ht="15.75" customHeight="1">
      <c r="A154" s="8" t="s">
        <v>257</v>
      </c>
      <c r="B154" s="8" t="s">
        <v>258</v>
      </c>
      <c r="C154" s="9">
        <v>0.0</v>
      </c>
      <c r="D154" s="9">
        <v>0.0</v>
      </c>
      <c r="E154" s="9">
        <v>0.0</v>
      </c>
      <c r="F154" s="9">
        <v>0.0</v>
      </c>
      <c r="G154" s="9">
        <v>0.0</v>
      </c>
    </row>
    <row r="155" ht="15.75" customHeight="1">
      <c r="A155" s="8" t="s">
        <v>259</v>
      </c>
      <c r="B155" s="8" t="s">
        <v>196</v>
      </c>
      <c r="C155" s="9">
        <v>0.0</v>
      </c>
      <c r="D155" s="9">
        <v>0.0</v>
      </c>
      <c r="E155" s="9">
        <v>0.0</v>
      </c>
      <c r="F155" s="9">
        <v>0.0</v>
      </c>
      <c r="G155" s="9">
        <v>0.0</v>
      </c>
    </row>
    <row r="156" ht="15.75" customHeight="1">
      <c r="A156" s="8" t="s">
        <v>260</v>
      </c>
      <c r="B156" s="8" t="s">
        <v>261</v>
      </c>
      <c r="C156" s="9">
        <v>78426.17766844478</v>
      </c>
      <c r="D156" s="9">
        <v>64674.950450565</v>
      </c>
      <c r="E156" s="9">
        <v>75157.30185704</v>
      </c>
      <c r="F156" s="9">
        <v>92630.548</v>
      </c>
      <c r="G156" s="9">
        <v>57054.0</v>
      </c>
    </row>
    <row r="157" ht="15.75" customHeight="1">
      <c r="A157" s="8" t="s">
        <v>262</v>
      </c>
      <c r="B157" s="8" t="s">
        <v>200</v>
      </c>
      <c r="C157" s="9">
        <v>57425.44673249578</v>
      </c>
      <c r="D157" s="9">
        <v>19383.37965343224</v>
      </c>
      <c r="E157" s="9">
        <v>229202.07894264</v>
      </c>
      <c r="F157" s="9">
        <v>199954.975</v>
      </c>
      <c r="G157" s="9">
        <v>197722.0</v>
      </c>
    </row>
    <row r="158" ht="15.75" customHeight="1">
      <c r="A158" s="8" t="s">
        <v>263</v>
      </c>
      <c r="B158" s="8" t="s">
        <v>204</v>
      </c>
      <c r="C158" s="9">
        <v>547140.4706386753</v>
      </c>
      <c r="D158" s="9">
        <v>19058.00750990689</v>
      </c>
      <c r="E158" s="9">
        <v>0.0</v>
      </c>
      <c r="F158" s="9">
        <v>0.0</v>
      </c>
      <c r="G158" s="9">
        <v>0.0</v>
      </c>
    </row>
    <row r="159" ht="15.75" customHeight="1">
      <c r="A159" s="8" t="s">
        <v>264</v>
      </c>
      <c r="B159" s="8" t="s">
        <v>265</v>
      </c>
      <c r="C159" s="9">
        <v>0.0</v>
      </c>
      <c r="D159" s="9">
        <v>0.0</v>
      </c>
      <c r="E159" s="9">
        <v>0.0</v>
      </c>
      <c r="F159" s="9">
        <v>0.0</v>
      </c>
      <c r="G159" s="9">
        <v>0.0</v>
      </c>
    </row>
    <row r="160" ht="15.75" customHeight="1">
      <c r="A160" s="8" t="s">
        <v>266</v>
      </c>
      <c r="B160" s="8" t="s">
        <v>206</v>
      </c>
      <c r="C160" s="9">
        <v>1737791.050448489</v>
      </c>
      <c r="D160" s="9">
        <v>1994474.502319213</v>
      </c>
      <c r="E160" s="9">
        <v>2826894.59596228</v>
      </c>
      <c r="F160" s="9">
        <v>3149739.9376</v>
      </c>
      <c r="G160" s="9">
        <v>4465669.0</v>
      </c>
    </row>
    <row r="161" ht="15.75" customHeight="1">
      <c r="A161" s="8" t="s">
        <v>267</v>
      </c>
      <c r="B161" s="8" t="s">
        <v>208</v>
      </c>
      <c r="C161" s="9">
        <v>353134.4464076381</v>
      </c>
      <c r="D161" s="9">
        <v>338068.6045707494</v>
      </c>
      <c r="E161" s="9">
        <v>336867.05366768</v>
      </c>
      <c r="F161" s="9">
        <v>416220.208</v>
      </c>
      <c r="G161" s="9">
        <v>573429.0</v>
      </c>
    </row>
    <row r="162" ht="15.75" customHeight="1">
      <c r="A162" s="8" t="s">
        <v>268</v>
      </c>
      <c r="B162" s="8" t="s">
        <v>269</v>
      </c>
      <c r="C162" s="9"/>
      <c r="D162" s="9">
        <v>0.0</v>
      </c>
      <c r="E162" s="9">
        <v>22691.88801008</v>
      </c>
      <c r="F162" s="9">
        <v>26029.456</v>
      </c>
      <c r="G162" s="9">
        <v>19929.0</v>
      </c>
    </row>
    <row r="163" ht="15.75" customHeight="1">
      <c r="A163" s="8" t="s">
        <v>270</v>
      </c>
      <c r="B163" s="8" t="s">
        <v>78</v>
      </c>
      <c r="C163" s="9">
        <v>3143514.653888707</v>
      </c>
      <c r="D163" s="9">
        <v>3268554.236529574</v>
      </c>
      <c r="E163" s="9">
        <v>2116216.6676736</v>
      </c>
      <c r="F163" s="9">
        <v>1543419.1044</v>
      </c>
      <c r="G163" s="9">
        <v>2788093.0</v>
      </c>
    </row>
    <row r="164" ht="15.75" customHeight="1">
      <c r="A164" s="8" t="s">
        <v>271</v>
      </c>
      <c r="B164" s="8" t="s">
        <v>80</v>
      </c>
      <c r="C164" s="9">
        <v>3143514.653888707</v>
      </c>
      <c r="D164" s="9">
        <v>3268554.236529574</v>
      </c>
      <c r="E164" s="9">
        <v>2116216.6676736</v>
      </c>
      <c r="F164" s="9">
        <v>1543419.1044</v>
      </c>
      <c r="G164" s="9">
        <v>2788093.0</v>
      </c>
    </row>
    <row r="165" ht="15.75" customHeight="1">
      <c r="A165" s="8" t="s">
        <v>272</v>
      </c>
      <c r="B165" s="8" t="s">
        <v>210</v>
      </c>
      <c r="C165" s="9">
        <v>756598.5163879101</v>
      </c>
      <c r="D165" s="9">
        <v>779152.8087607883</v>
      </c>
      <c r="E165" s="9">
        <v>858006.6420504401</v>
      </c>
      <c r="F165" s="9">
        <v>878984.8078000001</v>
      </c>
      <c r="G165" s="9">
        <v>1261217.0</v>
      </c>
    </row>
    <row r="166" ht="15.75" customHeight="1">
      <c r="A166" s="8" t="s">
        <v>273</v>
      </c>
      <c r="B166" s="8" t="s">
        <v>212</v>
      </c>
      <c r="C166" s="9">
        <v>440955.4531591472</v>
      </c>
      <c r="D166" s="9">
        <v>481028.5559167087</v>
      </c>
      <c r="E166" s="9">
        <v>433518.82285744</v>
      </c>
      <c r="F166" s="9">
        <v>496205.3366</v>
      </c>
      <c r="G166" s="9">
        <v>407228.0</v>
      </c>
    </row>
    <row r="167" ht="15.75" customHeight="1">
      <c r="A167" s="8" t="s">
        <v>274</v>
      </c>
      <c r="B167" s="8" t="s">
        <v>214</v>
      </c>
      <c r="C167" s="9">
        <v>89162.94313572862</v>
      </c>
      <c r="D167" s="9">
        <v>95846.991289875</v>
      </c>
      <c r="E167" s="9">
        <v>87480.66511700001</v>
      </c>
      <c r="F167" s="9">
        <v>104885.7348</v>
      </c>
      <c r="G167" s="9">
        <v>50609.0</v>
      </c>
    </row>
    <row r="168" ht="15.75" customHeight="1">
      <c r="A168" s="8" t="s">
        <v>275</v>
      </c>
      <c r="B168" s="8" t="s">
        <v>216</v>
      </c>
      <c r="C168" s="9">
        <v>165771.8356342806</v>
      </c>
      <c r="D168" s="9">
        <v>129448.3230797765</v>
      </c>
      <c r="E168" s="9">
        <v>138742.09107996</v>
      </c>
      <c r="F168" s="9">
        <v>147235.9108</v>
      </c>
      <c r="G168" s="9">
        <v>150537.0</v>
      </c>
    </row>
    <row r="169" ht="15.75" customHeight="1">
      <c r="A169" s="8" t="s">
        <v>276</v>
      </c>
      <c r="B169" s="8" t="s">
        <v>218</v>
      </c>
      <c r="C169" s="9">
        <v>184755.2016165548</v>
      </c>
      <c r="D169" s="9">
        <v>254601.965446615</v>
      </c>
      <c r="E169" s="9">
        <v>206035.1629856</v>
      </c>
      <c r="F169" s="9">
        <v>243018.6594</v>
      </c>
      <c r="G169" s="9">
        <v>205259.0</v>
      </c>
    </row>
    <row r="170" ht="15.75" customHeight="1">
      <c r="A170" s="8" t="s">
        <v>277</v>
      </c>
      <c r="B170" s="8" t="s">
        <v>220</v>
      </c>
      <c r="C170" s="9">
        <v>1265.472772583128</v>
      </c>
      <c r="D170" s="9">
        <v>1131.276100442252</v>
      </c>
      <c r="E170" s="9">
        <v>1260.90367488</v>
      </c>
      <c r="F170" s="9">
        <v>1065.0316</v>
      </c>
      <c r="G170" s="9">
        <v>823.0</v>
      </c>
    </row>
    <row r="171" ht="15.75" customHeight="1">
      <c r="A171" s="8" t="s">
        <v>278</v>
      </c>
      <c r="B171" s="8" t="s">
        <v>222</v>
      </c>
      <c r="C171" s="9">
        <v>315643.0632287629</v>
      </c>
      <c r="D171" s="9">
        <v>298124.2528440796</v>
      </c>
      <c r="E171" s="9">
        <v>424487.819193</v>
      </c>
      <c r="F171" s="9">
        <v>382779.4712</v>
      </c>
      <c r="G171" s="9">
        <v>853989.0</v>
      </c>
    </row>
    <row r="172" ht="15.75" customHeight="1">
      <c r="A172" s="8" t="s">
        <v>279</v>
      </c>
      <c r="B172" s="8" t="s">
        <v>224</v>
      </c>
      <c r="C172" s="9">
        <v>310769.782380467</v>
      </c>
      <c r="D172" s="9">
        <v>294408.5261231798</v>
      </c>
      <c r="E172" s="9">
        <v>276087.55621448</v>
      </c>
      <c r="F172" s="9">
        <v>233250.29</v>
      </c>
      <c r="G172" s="9">
        <v>333403.0</v>
      </c>
    </row>
    <row r="173" ht="15.75" customHeight="1">
      <c r="A173" s="8" t="s">
        <v>280</v>
      </c>
      <c r="B173" s="8" t="s">
        <v>226</v>
      </c>
      <c r="C173" s="9">
        <v>0.0</v>
      </c>
      <c r="D173" s="9">
        <v>0.0</v>
      </c>
      <c r="E173" s="9">
        <v>0.0</v>
      </c>
      <c r="F173" s="9">
        <v>0.0</v>
      </c>
      <c r="G173" s="9">
        <v>0.0</v>
      </c>
    </row>
    <row r="174" ht="15.75" customHeight="1">
      <c r="A174" s="8" t="s">
        <v>281</v>
      </c>
      <c r="B174" s="8" t="s">
        <v>228</v>
      </c>
      <c r="C174" s="9">
        <v>1952.370883783839</v>
      </c>
      <c r="D174" s="9">
        <v>1065.27534534992</v>
      </c>
      <c r="E174" s="9">
        <v>548.36175444</v>
      </c>
      <c r="F174" s="9">
        <v>0.0</v>
      </c>
      <c r="G174" s="9">
        <v>0.0</v>
      </c>
    </row>
    <row r="175" ht="15.75" customHeight="1">
      <c r="A175" s="8" t="s">
        <v>282</v>
      </c>
      <c r="B175" s="8" t="s">
        <v>283</v>
      </c>
      <c r="C175" s="9"/>
      <c r="D175" s="9">
        <v>0.0</v>
      </c>
      <c r="E175" s="9">
        <v>144508.09850988</v>
      </c>
      <c r="F175" s="9">
        <v>144687.3676</v>
      </c>
      <c r="G175" s="9">
        <v>274612.0</v>
      </c>
    </row>
    <row r="176" ht="15.75" customHeight="1">
      <c r="A176" s="8" t="s">
        <v>282</v>
      </c>
      <c r="B176" s="8" t="s">
        <v>53</v>
      </c>
      <c r="C176" s="9">
        <v>2920.909964512113</v>
      </c>
      <c r="D176" s="9">
        <v>2650.451375549965</v>
      </c>
      <c r="E176" s="9"/>
      <c r="F176" s="9"/>
      <c r="G176" s="9"/>
    </row>
    <row r="177" ht="15.75" customHeight="1">
      <c r="A177" s="8" t="s">
        <v>284</v>
      </c>
      <c r="B177" s="8" t="s">
        <v>53</v>
      </c>
      <c r="C177" s="9"/>
      <c r="D177" s="9">
        <v>2650.451375549965</v>
      </c>
      <c r="E177" s="9">
        <v>3343.802714200001</v>
      </c>
      <c r="F177" s="9">
        <v>4841.8136</v>
      </c>
      <c r="G177" s="9">
        <v>245974.0</v>
      </c>
    </row>
    <row r="178" ht="15.75" customHeight="1">
      <c r="A178" s="8" t="s">
        <v>285</v>
      </c>
      <c r="B178" s="8" t="s">
        <v>231</v>
      </c>
      <c r="C178" s="9">
        <v>0.0</v>
      </c>
      <c r="D178" s="9">
        <v>0.0</v>
      </c>
      <c r="E178" s="9">
        <v>0.0</v>
      </c>
      <c r="F178" s="9">
        <v>0.0</v>
      </c>
      <c r="G178" s="9">
        <v>0.0</v>
      </c>
    </row>
    <row r="179" ht="15.75" customHeight="1">
      <c r="A179" s="8" t="s">
        <v>286</v>
      </c>
      <c r="B179" s="8" t="s">
        <v>233</v>
      </c>
      <c r="C179" s="9">
        <v>0.0</v>
      </c>
      <c r="D179" s="9">
        <v>0.0</v>
      </c>
      <c r="E179" s="9">
        <v>0.0</v>
      </c>
      <c r="F179" s="9">
        <v>0.0</v>
      </c>
      <c r="G179" s="9">
        <v>0.0</v>
      </c>
    </row>
    <row r="180" ht="15.75" customHeight="1">
      <c r="A180" s="8" t="s">
        <v>287</v>
      </c>
      <c r="B180" s="8" t="s">
        <v>235</v>
      </c>
      <c r="C180" s="9">
        <v>0.0</v>
      </c>
      <c r="D180" s="9">
        <v>0.0</v>
      </c>
      <c r="E180" s="9">
        <v>0.0</v>
      </c>
      <c r="F180" s="9">
        <v>0.0</v>
      </c>
      <c r="G180" s="9">
        <v>0.0</v>
      </c>
    </row>
    <row r="181" ht="15.75" customHeight="1">
      <c r="A181" s="8" t="s">
        <v>288</v>
      </c>
      <c r="B181" s="8" t="s">
        <v>289</v>
      </c>
      <c r="C181" s="9">
        <v>380064.9304259932</v>
      </c>
      <c r="D181" s="9">
        <v>243606.4712298293</v>
      </c>
      <c r="E181" s="9">
        <v>128892.3756544</v>
      </c>
      <c r="F181" s="9">
        <v>89852.887</v>
      </c>
      <c r="G181" s="9">
        <v>79449.0</v>
      </c>
    </row>
    <row r="182" ht="15.75" customHeight="1">
      <c r="A182" s="8" t="s">
        <v>290</v>
      </c>
      <c r="B182" s="8" t="s">
        <v>291</v>
      </c>
      <c r="C182" s="9">
        <v>0.0</v>
      </c>
      <c r="D182" s="9">
        <v>0.0</v>
      </c>
      <c r="E182" s="9">
        <v>0.0</v>
      </c>
      <c r="F182" s="9">
        <v>0.0</v>
      </c>
      <c r="G182" s="9">
        <v>0.0</v>
      </c>
    </row>
    <row r="183" ht="15.75" customHeight="1">
      <c r="A183" s="8" t="s">
        <v>292</v>
      </c>
      <c r="B183" s="8" t="s">
        <v>293</v>
      </c>
      <c r="C183" s="9">
        <v>380064.9304259932</v>
      </c>
      <c r="D183" s="9">
        <v>243606.4712298293</v>
      </c>
      <c r="E183" s="9">
        <v>128892.3756544</v>
      </c>
      <c r="F183" s="9">
        <v>89852.887</v>
      </c>
      <c r="G183" s="9">
        <v>79449.0</v>
      </c>
    </row>
    <row r="184" ht="15.75" customHeight="1">
      <c r="A184" s="8" t="s">
        <v>294</v>
      </c>
      <c r="B184" s="8" t="s">
        <v>295</v>
      </c>
      <c r="C184" s="9"/>
      <c r="D184" s="9">
        <v>243606.4712298293</v>
      </c>
      <c r="E184" s="9">
        <v>128892.3756544</v>
      </c>
      <c r="F184" s="9">
        <v>89852.887</v>
      </c>
      <c r="G184" s="9">
        <v>79449.0</v>
      </c>
    </row>
    <row r="185" ht="15.75" customHeight="1">
      <c r="A185" s="8" t="s">
        <v>296</v>
      </c>
      <c r="B185" s="8" t="s">
        <v>297</v>
      </c>
      <c r="C185" s="9">
        <v>0.0</v>
      </c>
      <c r="D185" s="9">
        <v>0.0</v>
      </c>
      <c r="E185" s="9">
        <v>0.0</v>
      </c>
      <c r="F185" s="9">
        <v>0.0</v>
      </c>
      <c r="G185" s="9">
        <v>0.0</v>
      </c>
    </row>
    <row r="186" ht="15.75" customHeight="1">
      <c r="A186" s="8"/>
      <c r="B186" s="8"/>
      <c r="C186" s="9"/>
      <c r="D186" s="9"/>
      <c r="E186" s="9"/>
      <c r="F186" s="9"/>
      <c r="G186" s="9"/>
    </row>
    <row r="187" ht="15.75" customHeight="1">
      <c r="A187" s="6" t="s">
        <v>298</v>
      </c>
      <c r="B187" s="6" t="s">
        <v>299</v>
      </c>
      <c r="C187" s="7">
        <v>1.93013615759543E7</v>
      </c>
      <c r="D187" s="7">
        <v>1.792968639064E7</v>
      </c>
      <c r="E187" s="7">
        <v>1.612991433923764E7</v>
      </c>
      <c r="F187" s="7">
        <v>1.5394027426E7</v>
      </c>
      <c r="G187" s="7">
        <v>2.0710908E7</v>
      </c>
    </row>
    <row r="188" ht="15.75" customHeight="1">
      <c r="A188" s="8" t="s">
        <v>300</v>
      </c>
      <c r="B188" s="8" t="s">
        <v>301</v>
      </c>
      <c r="C188" s="9">
        <v>6575382.508013131</v>
      </c>
      <c r="D188" s="9">
        <v>5974361.71907426</v>
      </c>
      <c r="E188" s="9">
        <v>5647378.50370948</v>
      </c>
      <c r="F188" s="9">
        <v>5397991.3054</v>
      </c>
      <c r="G188" s="9">
        <v>5159617.0</v>
      </c>
    </row>
    <row r="189" ht="15.75" customHeight="1">
      <c r="A189" s="8" t="s">
        <v>302</v>
      </c>
      <c r="B189" s="8" t="s">
        <v>303</v>
      </c>
      <c r="C189" s="9">
        <v>6774.675990988828</v>
      </c>
      <c r="D189" s="9">
        <v>-9452.00287401239</v>
      </c>
      <c r="E189" s="9">
        <v>422008.6986864</v>
      </c>
      <c r="F189" s="9">
        <v>496060.961</v>
      </c>
      <c r="G189" s="9">
        <v>750979.0</v>
      </c>
    </row>
    <row r="190" ht="15.75" customHeight="1">
      <c r="A190" s="8" t="s">
        <v>304</v>
      </c>
      <c r="B190" s="8" t="s">
        <v>305</v>
      </c>
      <c r="C190" s="9">
        <v>0.0</v>
      </c>
      <c r="D190" s="9">
        <v>0.0</v>
      </c>
      <c r="E190" s="9">
        <v>0.0</v>
      </c>
      <c r="F190" s="9">
        <v>0.0</v>
      </c>
      <c r="G190" s="9">
        <v>0.0</v>
      </c>
    </row>
    <row r="191" ht="15.75" customHeight="1">
      <c r="A191" s="8" t="s">
        <v>306</v>
      </c>
      <c r="B191" s="8" t="s">
        <v>307</v>
      </c>
      <c r="C191" s="9">
        <v>0.0</v>
      </c>
      <c r="D191" s="9">
        <v>0.0</v>
      </c>
      <c r="E191" s="9">
        <v>0.0</v>
      </c>
      <c r="F191" s="9">
        <v>0.0</v>
      </c>
      <c r="G191" s="9">
        <v>0.0</v>
      </c>
    </row>
    <row r="192" ht="15.75" customHeight="1">
      <c r="A192" s="8" t="s">
        <v>308</v>
      </c>
      <c r="B192" s="8" t="s">
        <v>309</v>
      </c>
      <c r="C192" s="9">
        <v>0.0</v>
      </c>
      <c r="D192" s="9">
        <v>0.0</v>
      </c>
      <c r="E192" s="9">
        <v>0.0</v>
      </c>
      <c r="F192" s="9">
        <v>0.0</v>
      </c>
      <c r="G192" s="9">
        <v>0.0</v>
      </c>
    </row>
    <row r="193" ht="15.75" customHeight="1">
      <c r="A193" s="8" t="s">
        <v>310</v>
      </c>
      <c r="B193" s="8" t="s">
        <v>311</v>
      </c>
      <c r="C193" s="9">
        <v>0.0</v>
      </c>
      <c r="D193" s="9">
        <v>0.0</v>
      </c>
      <c r="E193" s="9">
        <v>0.0</v>
      </c>
      <c r="F193" s="9">
        <v>0.0</v>
      </c>
      <c r="G193" s="9">
        <v>0.0</v>
      </c>
    </row>
    <row r="194" ht="15.75" customHeight="1">
      <c r="A194" s="8" t="s">
        <v>312</v>
      </c>
      <c r="B194" s="8" t="s">
        <v>313</v>
      </c>
      <c r="C194" s="9">
        <v>-93825.94905202436</v>
      </c>
      <c r="D194" s="9">
        <v>-100857.2591369719</v>
      </c>
      <c r="E194" s="9">
        <v>-95337.23332732</v>
      </c>
      <c r="F194" s="9">
        <v>-91127.1586</v>
      </c>
      <c r="G194" s="9">
        <v>-87103.0</v>
      </c>
    </row>
    <row r="195" ht="15.75" customHeight="1">
      <c r="A195" s="8" t="s">
        <v>314</v>
      </c>
      <c r="B195" s="8" t="s">
        <v>254</v>
      </c>
      <c r="C195" s="9">
        <v>0.0</v>
      </c>
      <c r="D195" s="9">
        <v>0.0</v>
      </c>
      <c r="E195" s="9">
        <v>0.0</v>
      </c>
      <c r="F195" s="9">
        <v>0.0</v>
      </c>
      <c r="G195" s="9">
        <v>0.0</v>
      </c>
    </row>
    <row r="196" ht="15.75" customHeight="1">
      <c r="A196" s="8" t="s">
        <v>315</v>
      </c>
      <c r="B196" s="8" t="s">
        <v>316</v>
      </c>
      <c r="C196" s="9">
        <v>100600.6250430132</v>
      </c>
      <c r="D196" s="9">
        <v>91405.25626295946</v>
      </c>
      <c r="E196" s="9">
        <v>103308.72765384</v>
      </c>
      <c r="F196" s="9">
        <v>121757.8022</v>
      </c>
      <c r="G196" s="9">
        <v>139962.0</v>
      </c>
    </row>
    <row r="197" ht="15.75" customHeight="1">
      <c r="A197" s="8" t="s">
        <v>317</v>
      </c>
      <c r="B197" s="8" t="s">
        <v>318</v>
      </c>
      <c r="C197" s="9"/>
      <c r="D197" s="9">
        <v>-149786.9768200714</v>
      </c>
      <c r="E197" s="9">
        <v>414037.2043598801</v>
      </c>
      <c r="F197" s="9">
        <v>465430.3174</v>
      </c>
      <c r="G197" s="9">
        <v>698120.0</v>
      </c>
    </row>
    <row r="198" ht="15.75" customHeight="1">
      <c r="A198" s="8" t="s">
        <v>319</v>
      </c>
      <c r="B198" s="8" t="s">
        <v>320</v>
      </c>
      <c r="C198" s="9">
        <v>0.0</v>
      </c>
      <c r="D198" s="9">
        <v>0.0</v>
      </c>
      <c r="E198" s="9">
        <v>0.0</v>
      </c>
      <c r="F198" s="9">
        <v>0.0</v>
      </c>
      <c r="G198" s="9">
        <v>0.0</v>
      </c>
    </row>
    <row r="199" ht="15.75" customHeight="1">
      <c r="A199" s="8" t="s">
        <v>321</v>
      </c>
      <c r="B199" s="8" t="s">
        <v>322</v>
      </c>
      <c r="C199" s="9">
        <v>0.0</v>
      </c>
      <c r="D199" s="9">
        <v>0.0</v>
      </c>
      <c r="E199" s="9">
        <v>0.0</v>
      </c>
      <c r="F199" s="9">
        <v>0.0</v>
      </c>
      <c r="G199" s="9">
        <v>274354.0</v>
      </c>
    </row>
    <row r="200" ht="15.75" customHeight="1">
      <c r="A200" s="8" t="s">
        <v>323</v>
      </c>
      <c r="B200" s="8" t="s">
        <v>324</v>
      </c>
      <c r="C200" s="9">
        <v>0.0</v>
      </c>
      <c r="D200" s="9">
        <v>0.0</v>
      </c>
      <c r="E200" s="9">
        <v>0.0</v>
      </c>
      <c r="F200" s="9">
        <v>0.0</v>
      </c>
      <c r="G200" s="9">
        <v>16289.0</v>
      </c>
    </row>
    <row r="201" ht="15.75" customHeight="1">
      <c r="A201" s="8" t="s">
        <v>325</v>
      </c>
      <c r="B201" s="8" t="s">
        <v>326</v>
      </c>
      <c r="C201" s="9">
        <v>0.0</v>
      </c>
      <c r="D201" s="9">
        <v>0.0</v>
      </c>
      <c r="E201" s="9">
        <v>0.0</v>
      </c>
      <c r="F201" s="9">
        <v>0.0</v>
      </c>
      <c r="G201" s="9">
        <v>0.0</v>
      </c>
    </row>
    <row r="202" ht="15.75" customHeight="1">
      <c r="A202" s="8" t="s">
        <v>327</v>
      </c>
      <c r="B202" s="8" t="s">
        <v>328</v>
      </c>
      <c r="C202" s="9">
        <v>0.0</v>
      </c>
      <c r="D202" s="9">
        <v>0.0</v>
      </c>
      <c r="E202" s="9">
        <v>0.0</v>
      </c>
      <c r="F202" s="9">
        <v>0.0</v>
      </c>
      <c r="G202" s="9">
        <v>0.0</v>
      </c>
    </row>
    <row r="203" ht="15.75" customHeight="1">
      <c r="A203" s="8" t="s">
        <v>329</v>
      </c>
      <c r="B203" s="8" t="s">
        <v>330</v>
      </c>
      <c r="C203" s="9">
        <v>0.0</v>
      </c>
      <c r="D203" s="9">
        <v>0.0</v>
      </c>
      <c r="E203" s="9">
        <v>0.0</v>
      </c>
      <c r="F203" s="9">
        <v>0.0</v>
      </c>
      <c r="G203" s="9">
        <v>0.0</v>
      </c>
    </row>
    <row r="204" ht="15.75" customHeight="1">
      <c r="A204" s="8" t="s">
        <v>331</v>
      </c>
      <c r="B204" s="8" t="s">
        <v>332</v>
      </c>
      <c r="C204" s="9">
        <v>0.0</v>
      </c>
      <c r="D204" s="9">
        <v>0.0</v>
      </c>
      <c r="E204" s="9">
        <v>0.0</v>
      </c>
      <c r="F204" s="9">
        <v>0.0</v>
      </c>
      <c r="G204" s="9">
        <v>0.0</v>
      </c>
    </row>
    <row r="205" ht="15.75" customHeight="1">
      <c r="A205" s="8" t="s">
        <v>333</v>
      </c>
      <c r="B205" s="8" t="s">
        <v>334</v>
      </c>
      <c r="C205" s="9">
        <v>0.0</v>
      </c>
      <c r="D205" s="9">
        <v>0.0</v>
      </c>
      <c r="E205" s="9">
        <v>0.0</v>
      </c>
      <c r="F205" s="9">
        <v>0.0</v>
      </c>
      <c r="G205" s="9">
        <v>0.0</v>
      </c>
    </row>
    <row r="206" ht="15.75" customHeight="1">
      <c r="A206" s="8" t="s">
        <v>335</v>
      </c>
      <c r="B206" s="8" t="s">
        <v>336</v>
      </c>
      <c r="C206" s="9">
        <v>0.0</v>
      </c>
      <c r="D206" s="9">
        <v>0.0</v>
      </c>
      <c r="E206" s="9">
        <v>0.0</v>
      </c>
      <c r="F206" s="9">
        <v>0.0</v>
      </c>
      <c r="G206" s="9">
        <v>0.0</v>
      </c>
    </row>
    <row r="207" ht="15.75" customHeight="1">
      <c r="A207" s="8" t="s">
        <v>337</v>
      </c>
      <c r="B207" s="8" t="s">
        <v>338</v>
      </c>
      <c r="C207" s="9">
        <v>0.0</v>
      </c>
      <c r="D207" s="9">
        <v>0.0</v>
      </c>
      <c r="E207" s="9">
        <v>0.0</v>
      </c>
      <c r="F207" s="9">
        <v>0.0</v>
      </c>
      <c r="G207" s="9">
        <v>0.0</v>
      </c>
    </row>
    <row r="208" ht="15.75" customHeight="1">
      <c r="A208" s="8" t="s">
        <v>339</v>
      </c>
      <c r="B208" s="8" t="s">
        <v>313</v>
      </c>
      <c r="C208" s="9">
        <v>0.0</v>
      </c>
      <c r="D208" s="9">
        <v>0.0</v>
      </c>
      <c r="E208" s="9">
        <v>0.0</v>
      </c>
      <c r="F208" s="9">
        <v>0.0</v>
      </c>
      <c r="G208" s="9">
        <v>0.0</v>
      </c>
    </row>
    <row r="209" ht="15.75" customHeight="1">
      <c r="A209" s="8" t="s">
        <v>340</v>
      </c>
      <c r="B209" s="8" t="s">
        <v>341</v>
      </c>
      <c r="C209" s="9">
        <v>0.0</v>
      </c>
      <c r="D209" s="9">
        <v>0.0</v>
      </c>
      <c r="E209" s="9">
        <v>0.0</v>
      </c>
      <c r="F209" s="9">
        <v>0.0</v>
      </c>
      <c r="G209" s="9">
        <v>103776.0</v>
      </c>
    </row>
    <row r="210" ht="15.75" customHeight="1">
      <c r="A210" s="8" t="s">
        <v>342</v>
      </c>
      <c r="B210" s="8" t="s">
        <v>343</v>
      </c>
      <c r="C210" s="9">
        <v>0.0</v>
      </c>
      <c r="D210" s="9">
        <v>0.0</v>
      </c>
      <c r="E210" s="9">
        <v>0.0</v>
      </c>
      <c r="F210" s="9">
        <v>0.0</v>
      </c>
      <c r="G210" s="9">
        <v>154289.0</v>
      </c>
    </row>
    <row r="211" ht="15.75" customHeight="1">
      <c r="A211" s="8" t="s">
        <v>344</v>
      </c>
      <c r="B211" s="8" t="s">
        <v>345</v>
      </c>
      <c r="C211" s="9">
        <v>0.0</v>
      </c>
      <c r="D211" s="9">
        <v>0.0</v>
      </c>
      <c r="E211" s="9">
        <v>0.0</v>
      </c>
      <c r="F211" s="9">
        <v>0.0</v>
      </c>
      <c r="G211" s="9">
        <v>0.0</v>
      </c>
    </row>
    <row r="212" ht="15.75" customHeight="1">
      <c r="A212" s="8" t="s">
        <v>346</v>
      </c>
      <c r="B212" s="8" t="s">
        <v>318</v>
      </c>
      <c r="C212" s="9">
        <v>0.0</v>
      </c>
      <c r="D212" s="9">
        <v>0.0</v>
      </c>
      <c r="E212" s="9">
        <v>0.0</v>
      </c>
      <c r="F212" s="9">
        <v>0.0</v>
      </c>
      <c r="G212" s="9">
        <v>0.0</v>
      </c>
    </row>
    <row r="213" ht="15.75" customHeight="1">
      <c r="A213" s="8" t="s">
        <v>347</v>
      </c>
      <c r="B213" s="8" t="s">
        <v>348</v>
      </c>
      <c r="C213" s="9">
        <v>-1463194.928339696</v>
      </c>
      <c r="D213" s="9">
        <v>-1647667.166192642</v>
      </c>
      <c r="E213" s="9">
        <v>-2601297.913465</v>
      </c>
      <c r="F213" s="9">
        <v>-1666665.6492</v>
      </c>
      <c r="G213" s="9">
        <v>0.0</v>
      </c>
    </row>
    <row r="214" ht="15.75" customHeight="1">
      <c r="A214" s="8" t="s">
        <v>349</v>
      </c>
      <c r="B214" s="8" t="s">
        <v>350</v>
      </c>
      <c r="C214" s="9">
        <v>1.343661913055499E7</v>
      </c>
      <c r="D214" s="9">
        <v>1.292068529487772E7</v>
      </c>
      <c r="E214" s="9">
        <v>1.119504929807272E7</v>
      </c>
      <c r="F214" s="9">
        <v>9886177.7972</v>
      </c>
      <c r="G214" s="9">
        <v>1.2860256E7</v>
      </c>
    </row>
    <row r="215" ht="15.75" customHeight="1">
      <c r="A215" s="8" t="s">
        <v>351</v>
      </c>
      <c r="B215" s="8" t="s">
        <v>318</v>
      </c>
      <c r="C215" s="9">
        <v>-162608.7908995864</v>
      </c>
      <c r="D215" s="9">
        <v>-149786.9768200714</v>
      </c>
      <c r="E215" s="9"/>
      <c r="F215" s="9"/>
      <c r="G215" s="9"/>
    </row>
    <row r="216" ht="15.75" customHeight="1">
      <c r="A216" s="8" t="s">
        <v>352</v>
      </c>
      <c r="B216" s="8" t="s">
        <v>353</v>
      </c>
      <c r="C216" s="9">
        <v>-97870.87410759216</v>
      </c>
      <c r="D216" s="9">
        <v>-151718.3673375102</v>
      </c>
      <c r="E216" s="9"/>
      <c r="F216" s="9"/>
      <c r="G216" s="9"/>
    </row>
    <row r="217" ht="15.75" customHeight="1">
      <c r="A217" s="8" t="s">
        <v>352</v>
      </c>
      <c r="B217" s="8" t="s">
        <v>354</v>
      </c>
      <c r="C217" s="9"/>
      <c r="D217" s="9">
        <v>-151718.3673375102</v>
      </c>
      <c r="E217" s="9">
        <v>-101414.0885382</v>
      </c>
      <c r="F217" s="9">
        <v>-119385.0206</v>
      </c>
      <c r="G217" s="9">
        <v>-82452.0</v>
      </c>
    </row>
    <row r="218" ht="15.75" customHeight="1">
      <c r="A218" s="8" t="s">
        <v>355</v>
      </c>
      <c r="B218" s="8" t="s">
        <v>356</v>
      </c>
      <c r="C218" s="9">
        <v>1.36391839817152E7</v>
      </c>
      <c r="D218" s="9">
        <v>1.322603836726639E7</v>
      </c>
      <c r="E218" s="9">
        <v>1.127679898086188E7</v>
      </c>
      <c r="F218" s="9">
        <v>9950854.9274</v>
      </c>
      <c r="G218" s="9">
        <v>1.302141E7</v>
      </c>
    </row>
    <row r="219" ht="15.75" customHeight="1">
      <c r="A219" s="8" t="s">
        <v>357</v>
      </c>
      <c r="B219" s="8" t="s">
        <v>358</v>
      </c>
      <c r="C219" s="9">
        <v>57914.81384696902</v>
      </c>
      <c r="D219" s="9">
        <v>-3847.728231084549</v>
      </c>
      <c r="E219" s="9">
        <v>19664.40574904</v>
      </c>
      <c r="F219" s="9">
        <v>54707.8904</v>
      </c>
      <c r="G219" s="9">
        <v>-78702.0</v>
      </c>
    </row>
    <row r="220" ht="15.75" customHeight="1">
      <c r="A220" s="8" t="s">
        <v>359</v>
      </c>
      <c r="B220" s="8" t="s">
        <v>360</v>
      </c>
      <c r="C220" s="9">
        <v>0.0</v>
      </c>
      <c r="D220" s="9">
        <v>0.0</v>
      </c>
      <c r="E220" s="9">
        <v>0.0</v>
      </c>
      <c r="F220" s="9">
        <v>0.0</v>
      </c>
      <c r="G220" s="9">
        <v>0.0</v>
      </c>
    </row>
    <row r="221" ht="15.75" customHeight="1">
      <c r="A221" s="8" t="s">
        <v>361</v>
      </c>
      <c r="B221" s="8" t="s">
        <v>362</v>
      </c>
      <c r="C221" s="9">
        <v>0.0</v>
      </c>
      <c r="D221" s="9">
        <v>0.0</v>
      </c>
      <c r="E221" s="9">
        <v>0.0</v>
      </c>
      <c r="F221" s="9">
        <v>0.0</v>
      </c>
      <c r="G221" s="9">
        <v>0.0</v>
      </c>
    </row>
    <row r="222" ht="15.75" customHeight="1">
      <c r="A222" s="8" t="s">
        <v>363</v>
      </c>
      <c r="B222" s="8" t="s">
        <v>364</v>
      </c>
      <c r="C222" s="9">
        <v>745780.1897348807</v>
      </c>
      <c r="D222" s="9">
        <v>691758.5457546682</v>
      </c>
      <c r="E222" s="9">
        <v>1466775.75223404</v>
      </c>
      <c r="F222" s="9">
        <v>1280463.0116</v>
      </c>
      <c r="G222" s="9">
        <v>1665702.0</v>
      </c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A1:B1"/>
    <mergeCell ref="C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78.57"/>
    <col customWidth="1" min="3" max="3" width="16.0"/>
    <col customWidth="1" min="4" max="4" width="15.29"/>
    <col customWidth="1" min="5" max="5" width="15.71"/>
    <col customWidth="1" min="6" max="6" width="15.14"/>
    <col customWidth="1" min="7" max="7" width="15.86"/>
    <col customWidth="1" min="8" max="26" width="8.71"/>
  </cols>
  <sheetData>
    <row r="1">
      <c r="A1" s="12" t="s">
        <v>365</v>
      </c>
      <c r="B1" s="4"/>
      <c r="C1" s="2" t="s">
        <v>1</v>
      </c>
      <c r="D1" s="3"/>
      <c r="E1" s="3"/>
      <c r="F1" s="3"/>
      <c r="G1" s="4"/>
    </row>
    <row r="2">
      <c r="A2" s="5" t="s">
        <v>2</v>
      </c>
      <c r="B2" s="5" t="s">
        <v>3</v>
      </c>
      <c r="C2" s="13">
        <v>2020.0</v>
      </c>
      <c r="D2" s="5">
        <v>2021.0</v>
      </c>
      <c r="E2" s="5">
        <v>2022.0</v>
      </c>
      <c r="F2" s="5">
        <v>2023.0</v>
      </c>
      <c r="G2" s="5">
        <v>2024.0</v>
      </c>
    </row>
    <row r="3">
      <c r="A3" s="8" t="s">
        <v>366</v>
      </c>
      <c r="B3" s="8" t="s">
        <v>367</v>
      </c>
      <c r="C3" s="9">
        <v>2.282724850145473E7</v>
      </c>
      <c r="D3" s="9">
        <v>2.501178994273384E7</v>
      </c>
      <c r="E3" s="9">
        <v>2.46473418045608E7</v>
      </c>
      <c r="F3" s="9">
        <v>2.741985360827202E7</v>
      </c>
      <c r="G3" s="9">
        <v>3.5424174E7</v>
      </c>
    </row>
    <row r="4">
      <c r="A4" s="8" t="s">
        <v>368</v>
      </c>
      <c r="B4" s="8" t="s">
        <v>369</v>
      </c>
      <c r="C4" s="9">
        <v>-2.00299437315736E7</v>
      </c>
      <c r="D4" s="9">
        <v>-2.110704897528459E7</v>
      </c>
      <c r="E4" s="9">
        <v>-1.969661591543162E7</v>
      </c>
      <c r="F4" s="9">
        <v>-2.269063265028139E7</v>
      </c>
      <c r="G4" s="9">
        <v>-2.904194E7</v>
      </c>
    </row>
    <row r="5">
      <c r="A5" s="8" t="s">
        <v>370</v>
      </c>
      <c r="B5" s="8" t="s">
        <v>371</v>
      </c>
      <c r="C5" s="9">
        <v>2797304.76988113</v>
      </c>
      <c r="D5" s="9">
        <v>3904740.967449251</v>
      </c>
      <c r="E5" s="9">
        <v>4950725.889129187</v>
      </c>
      <c r="F5" s="9">
        <v>4729220.957990627</v>
      </c>
      <c r="G5" s="9">
        <v>6382234.0</v>
      </c>
    </row>
    <row r="6">
      <c r="A6" s="8" t="s">
        <v>372</v>
      </c>
      <c r="B6" s="8" t="s">
        <v>373</v>
      </c>
      <c r="C6" s="9">
        <v>-4751012.752529023</v>
      </c>
      <c r="D6" s="9">
        <v>-2741056.434950025</v>
      </c>
      <c r="E6" s="9">
        <v>-5534712.458766987</v>
      </c>
      <c r="F6" s="9">
        <v>-3130259.287387266</v>
      </c>
      <c r="G6" s="9">
        <v>-2610113.0</v>
      </c>
    </row>
    <row r="7">
      <c r="A7" s="8" t="s">
        <v>374</v>
      </c>
      <c r="B7" s="8" t="s">
        <v>375</v>
      </c>
      <c r="C7" s="9">
        <v>-1165168.270253144</v>
      </c>
      <c r="D7" s="9">
        <v>-1349688.833440754</v>
      </c>
      <c r="E7" s="9">
        <v>-1488429.552022429</v>
      </c>
      <c r="F7" s="9">
        <v>-1648217.71611339</v>
      </c>
      <c r="G7" s="9">
        <v>-1671416.0</v>
      </c>
    </row>
    <row r="8">
      <c r="A8" s="8" t="s">
        <v>376</v>
      </c>
      <c r="B8" s="8" t="s">
        <v>377</v>
      </c>
      <c r="C8" s="9">
        <v>-858543.5732233961</v>
      </c>
      <c r="D8" s="9">
        <v>-912634.3883906212</v>
      </c>
      <c r="E8" s="9">
        <v>-1002967.092213963</v>
      </c>
      <c r="F8" s="9">
        <v>-1073817.287051653</v>
      </c>
      <c r="G8" s="9">
        <v>-1074842.0</v>
      </c>
    </row>
    <row r="9">
      <c r="A9" s="8" t="s">
        <v>378</v>
      </c>
      <c r="B9" s="8" t="s">
        <v>379</v>
      </c>
      <c r="C9" s="9">
        <v>-341578.3970095335</v>
      </c>
      <c r="D9" s="9">
        <v>78245.88502359168</v>
      </c>
      <c r="E9" s="9">
        <v>-89080.8976979955</v>
      </c>
      <c r="F9" s="9">
        <v>51456.10126952755</v>
      </c>
      <c r="G9" s="9">
        <v>-121576.0</v>
      </c>
    </row>
    <row r="10">
      <c r="A10" s="8" t="s">
        <v>380</v>
      </c>
      <c r="B10" s="8" t="s">
        <v>381</v>
      </c>
      <c r="C10" s="9"/>
      <c r="D10" s="9"/>
      <c r="E10" s="9">
        <v>-89080.8976979955</v>
      </c>
      <c r="F10" s="9">
        <v>51456.10126952755</v>
      </c>
      <c r="G10" s="9">
        <v>-121576.0</v>
      </c>
    </row>
    <row r="11">
      <c r="A11" s="8" t="s">
        <v>380</v>
      </c>
      <c r="B11" s="8" t="s">
        <v>382</v>
      </c>
      <c r="C11" s="9"/>
      <c r="D11" s="9">
        <v>78245.88502359168</v>
      </c>
      <c r="E11" s="9">
        <v>-89080.8976979955</v>
      </c>
      <c r="F11" s="9"/>
      <c r="G11" s="9"/>
    </row>
    <row r="12">
      <c r="A12" s="8" t="s">
        <v>380</v>
      </c>
      <c r="B12" s="8" t="s">
        <v>383</v>
      </c>
      <c r="C12" s="9">
        <v>-341578.3970095335</v>
      </c>
      <c r="D12" s="9">
        <v>78245.88502359168</v>
      </c>
      <c r="E12" s="9"/>
      <c r="F12" s="9"/>
      <c r="G12" s="9"/>
    </row>
    <row r="13">
      <c r="A13" s="8" t="s">
        <v>384</v>
      </c>
      <c r="B13" s="8" t="s">
        <v>385</v>
      </c>
      <c r="C13" s="9">
        <v>581352.2252323517</v>
      </c>
      <c r="D13" s="9">
        <v>403624.0481717949</v>
      </c>
      <c r="E13" s="9">
        <v>646635.0925064585</v>
      </c>
      <c r="F13" s="9">
        <v>782856.4998836665</v>
      </c>
      <c r="G13" s="9">
        <v>1455864.0</v>
      </c>
    </row>
    <row r="14">
      <c r="A14" s="8" t="s">
        <v>386</v>
      </c>
      <c r="B14" s="8" t="s">
        <v>387</v>
      </c>
      <c r="C14" s="9">
        <v>-2981844.872035346</v>
      </c>
      <c r="D14" s="9">
        <v>-966605.1713641408</v>
      </c>
      <c r="E14" s="9">
        <v>-3644760.343906752</v>
      </c>
      <c r="F14" s="9">
        <v>-1295024.229965149</v>
      </c>
      <c r="G14" s="9">
        <v>-1174508.0</v>
      </c>
    </row>
    <row r="15">
      <c r="A15" s="8" t="s">
        <v>388</v>
      </c>
      <c r="B15" s="8" t="s">
        <v>389</v>
      </c>
      <c r="C15" s="9">
        <v>-180259.7963613725</v>
      </c>
      <c r="D15" s="9">
        <v>-257515.5607986061</v>
      </c>
      <c r="E15" s="9">
        <v>-595704.3934178713</v>
      </c>
      <c r="F15" s="9">
        <v>-475458.8283492509</v>
      </c>
      <c r="G15" s="9">
        <v>-298148.0</v>
      </c>
    </row>
    <row r="16">
      <c r="A16" s="8" t="s">
        <v>390</v>
      </c>
      <c r="B16" s="8" t="s">
        <v>391</v>
      </c>
      <c r="C16" s="9">
        <v>-2801585.075673974</v>
      </c>
      <c r="D16" s="9">
        <v>-709089.6105655348</v>
      </c>
      <c r="E16" s="9">
        <v>-3049055.950488881</v>
      </c>
      <c r="F16" s="9">
        <v>-819565.4016158979</v>
      </c>
      <c r="G16" s="9">
        <v>-876360.0</v>
      </c>
    </row>
    <row r="17">
      <c r="A17" s="8" t="s">
        <v>392</v>
      </c>
      <c r="B17" s="8" t="s">
        <v>393</v>
      </c>
      <c r="C17" s="9">
        <v>14770.13476004437</v>
      </c>
      <c r="D17" s="9">
        <v>6002.025050104186</v>
      </c>
      <c r="E17" s="9">
        <v>43890.33456769402</v>
      </c>
      <c r="F17" s="9">
        <v>52487.34458973155</v>
      </c>
      <c r="G17" s="9">
        <v>-23635.0</v>
      </c>
    </row>
    <row r="18">
      <c r="A18" s="8" t="s">
        <v>394</v>
      </c>
      <c r="B18" s="8" t="s">
        <v>395</v>
      </c>
      <c r="C18" s="9">
        <v>-1953707.982647893</v>
      </c>
      <c r="D18" s="9">
        <v>1163684.532499225</v>
      </c>
      <c r="E18" s="9">
        <v>-583986.5696378001</v>
      </c>
      <c r="F18" s="9">
        <v>1598961.670603361</v>
      </c>
      <c r="G18" s="9">
        <v>3772121.0</v>
      </c>
    </row>
    <row r="19">
      <c r="A19" s="8" t="s">
        <v>396</v>
      </c>
      <c r="B19" s="8" t="s">
        <v>397</v>
      </c>
      <c r="C19" s="9">
        <v>-1895635.052926856</v>
      </c>
      <c r="D19" s="9">
        <v>-1029683.806688508</v>
      </c>
      <c r="E19" s="9">
        <v>-532944.4524185449</v>
      </c>
      <c r="F19" s="9">
        <v>-1012076.056374714</v>
      </c>
      <c r="G19" s="9">
        <v>-663190.0</v>
      </c>
    </row>
    <row r="20">
      <c r="A20" s="8" t="s">
        <v>398</v>
      </c>
      <c r="B20" s="8" t="s">
        <v>399</v>
      </c>
      <c r="C20" s="9">
        <v>-545046.9109063601</v>
      </c>
      <c r="D20" s="9">
        <v>438418.1404475459</v>
      </c>
      <c r="E20" s="9">
        <v>873259.5702852951</v>
      </c>
      <c r="F20" s="9">
        <v>818788.2936149295</v>
      </c>
      <c r="G20" s="9">
        <v>1122030.0</v>
      </c>
    </row>
    <row r="21">
      <c r="A21" s="8" t="s">
        <v>400</v>
      </c>
      <c r="B21" s="8" t="s">
        <v>401</v>
      </c>
      <c r="C21" s="9">
        <v>-739049.475663163</v>
      </c>
      <c r="D21" s="9">
        <v>-35868.71955494248</v>
      </c>
      <c r="E21" s="9">
        <v>221844.0093045126</v>
      </c>
      <c r="F21" s="9">
        <v>145940.8825818646</v>
      </c>
      <c r="G21" s="9">
        <v>-526858.0</v>
      </c>
    </row>
    <row r="22" ht="15.75" customHeight="1">
      <c r="A22" s="8" t="s">
        <v>402</v>
      </c>
      <c r="B22" s="8" t="s">
        <v>399</v>
      </c>
      <c r="C22" s="9">
        <v>194002.5647568028</v>
      </c>
      <c r="D22" s="9">
        <v>474286.8600024884</v>
      </c>
      <c r="E22" s="9">
        <v>651415.5609807825</v>
      </c>
      <c r="F22" s="9">
        <v>672847.411033065</v>
      </c>
      <c r="G22" s="9">
        <v>1648888.0</v>
      </c>
    </row>
    <row r="23" ht="15.75" customHeight="1">
      <c r="A23" s="8" t="s">
        <v>403</v>
      </c>
      <c r="B23" s="8" t="s">
        <v>404</v>
      </c>
      <c r="C23" s="9">
        <v>-1350588.142020496</v>
      </c>
      <c r="D23" s="9">
        <v>-1468101.947136054</v>
      </c>
      <c r="E23" s="9">
        <v>-1406204.02270384</v>
      </c>
      <c r="F23" s="9">
        <v>-1830864.349989644</v>
      </c>
      <c r="G23" s="9">
        <v>-1785220.0</v>
      </c>
    </row>
    <row r="24" ht="15.75" customHeight="1">
      <c r="A24" s="8" t="s">
        <v>405</v>
      </c>
      <c r="B24" s="8" t="s">
        <v>406</v>
      </c>
      <c r="C24" s="9">
        <v>261855.231987146</v>
      </c>
      <c r="D24" s="9">
        <v>187729.8831434333</v>
      </c>
      <c r="E24" s="9">
        <v>-76994.13274939139</v>
      </c>
      <c r="F24" s="9">
        <v>-148011.7703898506</v>
      </c>
      <c r="G24" s="9">
        <v>494933.0</v>
      </c>
    </row>
    <row r="25" ht="15.75" customHeight="1">
      <c r="A25" s="8" t="s">
        <v>407</v>
      </c>
      <c r="B25" s="8" t="s">
        <v>404</v>
      </c>
      <c r="C25" s="9">
        <v>-1612443.374007643</v>
      </c>
      <c r="D25" s="9">
        <v>-1655831.830279487</v>
      </c>
      <c r="E25" s="9">
        <v>-1329209.889954449</v>
      </c>
      <c r="F25" s="9">
        <v>-1682852.579599793</v>
      </c>
      <c r="G25" s="9">
        <v>-2280153.0</v>
      </c>
    </row>
    <row r="26" ht="15.75" customHeight="1">
      <c r="A26" s="8" t="s">
        <v>408</v>
      </c>
      <c r="B26" s="8" t="s">
        <v>409</v>
      </c>
      <c r="C26" s="9">
        <v>-3849343.03557475</v>
      </c>
      <c r="D26" s="9">
        <v>134000.7258107176</v>
      </c>
      <c r="E26" s="9">
        <v>-1116931.022056345</v>
      </c>
      <c r="F26" s="9">
        <v>586885.6142286462</v>
      </c>
      <c r="G26" s="9">
        <v>3108931.0</v>
      </c>
    </row>
    <row r="27" ht="15.75" customHeight="1">
      <c r="A27" s="8" t="s">
        <v>410</v>
      </c>
      <c r="B27" s="8" t="s">
        <v>411</v>
      </c>
      <c r="C27" s="9">
        <v>-330123.9593515748</v>
      </c>
      <c r="D27" s="9">
        <v>-429267.2588729937</v>
      </c>
      <c r="E27" s="9">
        <v>16190.31572339762</v>
      </c>
      <c r="F27" s="9">
        <v>236801.610230226</v>
      </c>
      <c r="G27" s="9">
        <v>-1185100.0</v>
      </c>
    </row>
    <row r="28" ht="15.75" customHeight="1">
      <c r="A28" s="8" t="s">
        <v>412</v>
      </c>
      <c r="B28" s="8" t="s">
        <v>413</v>
      </c>
      <c r="C28" s="9">
        <v>139918.2338630909</v>
      </c>
      <c r="D28" s="9">
        <v>-186279.025985182</v>
      </c>
      <c r="E28" s="9">
        <v>-462197.0927876468</v>
      </c>
      <c r="F28" s="9">
        <v>-564733.8356172579</v>
      </c>
      <c r="G28" s="9">
        <v>-506974.0</v>
      </c>
    </row>
    <row r="29" ht="15.75" customHeight="1">
      <c r="A29" s="8" t="s">
        <v>414</v>
      </c>
      <c r="B29" s="8" t="s">
        <v>415</v>
      </c>
      <c r="C29" s="9">
        <v>-470042.1932146657</v>
      </c>
      <c r="D29" s="9">
        <v>-242988.2328878116</v>
      </c>
      <c r="E29" s="9">
        <v>478387.4085110444</v>
      </c>
      <c r="F29" s="9">
        <v>801535.4458474839</v>
      </c>
      <c r="G29" s="9">
        <v>-678126.0</v>
      </c>
    </row>
    <row r="30" ht="15.75" customHeight="1">
      <c r="A30" s="8" t="s">
        <v>416</v>
      </c>
      <c r="B30" s="8" t="s">
        <v>417</v>
      </c>
      <c r="C30" s="9">
        <v>-4179466.994926325</v>
      </c>
      <c r="D30" s="9">
        <v>-295266.5330622761</v>
      </c>
      <c r="E30" s="9">
        <v>-1100740.706332947</v>
      </c>
      <c r="F30" s="9">
        <v>823687.2244588722</v>
      </c>
      <c r="G30" s="9">
        <v>1923831.0</v>
      </c>
    </row>
    <row r="31" ht="15.75" customHeight="1">
      <c r="A31" s="8" t="s">
        <v>418</v>
      </c>
      <c r="B31" s="8" t="s">
        <v>419</v>
      </c>
      <c r="C31" s="9">
        <v>0.0</v>
      </c>
      <c r="D31" s="9">
        <v>0.0</v>
      </c>
      <c r="E31" s="9">
        <v>0.0</v>
      </c>
      <c r="F31" s="9">
        <v>0.0</v>
      </c>
      <c r="G31" s="9">
        <v>0.0</v>
      </c>
    </row>
    <row r="32" ht="15.75" customHeight="1">
      <c r="A32" s="8" t="s">
        <v>420</v>
      </c>
      <c r="B32" s="8" t="s">
        <v>421</v>
      </c>
      <c r="C32" s="9">
        <v>0.0</v>
      </c>
      <c r="D32" s="9">
        <v>0.0</v>
      </c>
      <c r="E32" s="9">
        <v>0.0</v>
      </c>
      <c r="F32" s="9">
        <v>0.0</v>
      </c>
      <c r="G32" s="9">
        <v>0.0</v>
      </c>
    </row>
    <row r="33" ht="15.75" customHeight="1">
      <c r="A33" s="8" t="s">
        <v>422</v>
      </c>
      <c r="B33" s="8" t="s">
        <v>423</v>
      </c>
      <c r="C33" s="9">
        <v>0.0</v>
      </c>
      <c r="D33" s="9">
        <v>0.0</v>
      </c>
      <c r="E33" s="9">
        <v>0.0</v>
      </c>
      <c r="F33" s="9">
        <v>0.0</v>
      </c>
      <c r="G33" s="9">
        <v>0.0</v>
      </c>
    </row>
    <row r="34" ht="15.75" customHeight="1">
      <c r="A34" s="8" t="s">
        <v>424</v>
      </c>
      <c r="B34" s="8" t="s">
        <v>425</v>
      </c>
      <c r="C34" s="9">
        <v>-4179466.994926325</v>
      </c>
      <c r="D34" s="9">
        <v>-295266.5330622761</v>
      </c>
      <c r="E34" s="9">
        <v>-1100740.706332947</v>
      </c>
      <c r="F34" s="9">
        <v>823687.2244588722</v>
      </c>
      <c r="G34" s="9">
        <v>1923831.0</v>
      </c>
    </row>
    <row r="35" ht="15.75" customHeight="1">
      <c r="A35" s="8" t="s">
        <v>426</v>
      </c>
      <c r="B35" s="8" t="s">
        <v>427</v>
      </c>
      <c r="C35" s="9">
        <v>-4202456.060603281</v>
      </c>
      <c r="D35" s="9">
        <v>-303211.4930596658</v>
      </c>
      <c r="E35" s="9">
        <v>-1002401.5926451</v>
      </c>
      <c r="F35" s="9">
        <v>822851.3082848575</v>
      </c>
      <c r="G35" s="9">
        <v>1918850.0</v>
      </c>
    </row>
    <row r="36" ht="15.75" customHeight="1">
      <c r="A36" s="8" t="s">
        <v>428</v>
      </c>
      <c r="B36" s="8" t="s">
        <v>429</v>
      </c>
      <c r="C36" s="9">
        <v>22989.06567695631</v>
      </c>
      <c r="D36" s="9">
        <v>7944.95999738975</v>
      </c>
      <c r="E36" s="9">
        <v>-98339.11368784725</v>
      </c>
      <c r="F36" s="9">
        <v>835.9161740146519</v>
      </c>
      <c r="G36" s="9">
        <v>4981.0</v>
      </c>
    </row>
    <row r="37" ht="15.75" customHeight="1">
      <c r="A37" s="8" t="s">
        <v>430</v>
      </c>
      <c r="B37" s="8" t="s">
        <v>431</v>
      </c>
      <c r="C37" s="9">
        <v>0.0</v>
      </c>
      <c r="D37" s="9">
        <v>0.0</v>
      </c>
      <c r="E37" s="9">
        <v>0.0</v>
      </c>
      <c r="F37" s="9">
        <v>0.0</v>
      </c>
      <c r="G37" s="9">
        <v>0.0</v>
      </c>
    </row>
    <row r="38" ht="15.75" customHeight="1">
      <c r="A38" s="8" t="s">
        <v>432</v>
      </c>
      <c r="B38" s="8" t="s">
        <v>433</v>
      </c>
      <c r="C38" s="9">
        <v>0.0</v>
      </c>
      <c r="D38" s="9">
        <v>0.0</v>
      </c>
      <c r="E38" s="9">
        <v>0.0</v>
      </c>
      <c r="F38" s="9">
        <v>0.0</v>
      </c>
      <c r="G38" s="9">
        <v>0.0</v>
      </c>
    </row>
    <row r="39" ht="15.75" customHeight="1">
      <c r="A39" s="8" t="s">
        <v>434</v>
      </c>
      <c r="B39" s="8" t="s">
        <v>435</v>
      </c>
      <c r="C39" s="9">
        <v>-5.708589097277139</v>
      </c>
      <c r="D39" s="9">
        <v>-0.4126833547317958</v>
      </c>
      <c r="E39" s="9">
        <v>-1.364493699485255</v>
      </c>
      <c r="F39" s="9">
        <v>1.120085667341743</v>
      </c>
      <c r="G39" s="9">
        <v>2.612</v>
      </c>
    </row>
    <row r="40" ht="15.75" customHeight="1">
      <c r="A40" s="8" t="s">
        <v>436</v>
      </c>
      <c r="B40" s="8" t="s">
        <v>437</v>
      </c>
      <c r="C40" s="9">
        <v>0.0</v>
      </c>
      <c r="D40" s="9">
        <v>0.0</v>
      </c>
      <c r="E40" s="9">
        <v>0.0</v>
      </c>
      <c r="F40" s="9">
        <v>0.0</v>
      </c>
      <c r="G40" s="9">
        <v>0.0</v>
      </c>
    </row>
    <row r="41" ht="15.75" customHeight="1">
      <c r="A41" s="8" t="s">
        <v>438</v>
      </c>
      <c r="B41" s="8" t="s">
        <v>435</v>
      </c>
      <c r="C41" s="9">
        <v>-5.708589097277139</v>
      </c>
      <c r="D41" s="9">
        <v>-0.4126833547317958</v>
      </c>
      <c r="E41" s="9">
        <v>-1.364493699485255</v>
      </c>
      <c r="F41" s="9">
        <v>1.120085667341743</v>
      </c>
      <c r="G41" s="9">
        <v>2.612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B1"/>
    <mergeCell ref="C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86.43"/>
    <col customWidth="1" min="3" max="3" width="14.86"/>
    <col customWidth="1" min="4" max="4" width="14.57"/>
    <col customWidth="1" min="5" max="5" width="15.14"/>
    <col customWidth="1" min="6" max="6" width="15.43"/>
    <col customWidth="1" min="7" max="7" width="14.0"/>
    <col customWidth="1" min="8" max="26" width="8.71"/>
  </cols>
  <sheetData>
    <row r="1">
      <c r="A1" s="12" t="s">
        <v>439</v>
      </c>
      <c r="B1" s="4"/>
      <c r="C1" s="2" t="s">
        <v>1</v>
      </c>
      <c r="D1" s="3"/>
      <c r="E1" s="3"/>
      <c r="F1" s="3"/>
      <c r="G1" s="4"/>
    </row>
    <row r="2">
      <c r="A2" s="5" t="s">
        <v>2</v>
      </c>
      <c r="B2" s="5" t="s">
        <v>3</v>
      </c>
      <c r="C2" s="5">
        <v>2020.0</v>
      </c>
      <c r="D2" s="5">
        <v>2021.0</v>
      </c>
      <c r="E2" s="5">
        <v>2022.0</v>
      </c>
      <c r="F2" s="5">
        <v>2023.0</v>
      </c>
      <c r="G2" s="5">
        <v>2024.0</v>
      </c>
    </row>
    <row r="3">
      <c r="A3" s="8" t="s">
        <v>440</v>
      </c>
      <c r="B3" s="8" t="s">
        <v>441</v>
      </c>
      <c r="C3" s="9">
        <v>-7568533.628645969</v>
      </c>
      <c r="D3" s="9">
        <v>3147978.286959093</v>
      </c>
      <c r="E3" s="9">
        <v>4037196.02240847</v>
      </c>
      <c r="F3" s="9">
        <v>2968901.212153757</v>
      </c>
      <c r="G3" s="9">
        <v>5532441.0</v>
      </c>
    </row>
    <row r="4">
      <c r="A4" s="8" t="s">
        <v>442</v>
      </c>
      <c r="B4" s="8" t="s">
        <v>443</v>
      </c>
      <c r="C4" s="9">
        <v>-908638.1431106376</v>
      </c>
      <c r="D4" s="9">
        <v>406287.4467877786</v>
      </c>
      <c r="E4" s="9">
        <v>2073595.472062206</v>
      </c>
      <c r="F4" s="9">
        <v>2426036.665888076</v>
      </c>
      <c r="G4" s="9">
        <v>5819306.0</v>
      </c>
    </row>
    <row r="5">
      <c r="A5" s="8" t="s">
        <v>444</v>
      </c>
      <c r="B5" s="8" t="s">
        <v>445</v>
      </c>
      <c r="C5" s="9"/>
      <c r="D5" s="9"/>
      <c r="E5" s="9">
        <v>-1100740.706332947</v>
      </c>
      <c r="F5" s="9">
        <v>823687.2244588722</v>
      </c>
      <c r="G5" s="9"/>
    </row>
    <row r="6">
      <c r="A6" s="8" t="s">
        <v>444</v>
      </c>
      <c r="B6" s="8" t="s">
        <v>446</v>
      </c>
      <c r="C6" s="9"/>
      <c r="D6" s="9"/>
      <c r="E6" s="9"/>
      <c r="F6" s="9">
        <v>823687.2244588722</v>
      </c>
      <c r="G6" s="9">
        <v>1923831.0</v>
      </c>
    </row>
    <row r="7">
      <c r="A7" s="8" t="s">
        <v>444</v>
      </c>
      <c r="B7" s="8" t="s">
        <v>447</v>
      </c>
      <c r="C7" s="9">
        <v>-4179466.994926325</v>
      </c>
      <c r="D7" s="9">
        <v>-295266.5330622761</v>
      </c>
      <c r="E7" s="9">
        <v>-1100740.706332947</v>
      </c>
      <c r="F7" s="9"/>
      <c r="G7" s="9"/>
    </row>
    <row r="8">
      <c r="A8" s="8" t="s">
        <v>448</v>
      </c>
      <c r="B8" s="8" t="s">
        <v>449</v>
      </c>
      <c r="C8" s="9">
        <v>999309.0356835498</v>
      </c>
      <c r="D8" s="9">
        <v>726560.5787031082</v>
      </c>
      <c r="E8" s="9">
        <v>578806.6776761756</v>
      </c>
      <c r="F8" s="9"/>
      <c r="G8" s="9"/>
    </row>
    <row r="9">
      <c r="A9" s="8" t="s">
        <v>448</v>
      </c>
      <c r="B9" s="8" t="s">
        <v>450</v>
      </c>
      <c r="C9" s="9"/>
      <c r="D9" s="9"/>
      <c r="E9" s="9">
        <v>1141264.321348473</v>
      </c>
      <c r="F9" s="9">
        <v>1262331.086335219</v>
      </c>
      <c r="G9" s="9">
        <v>1331819.0</v>
      </c>
    </row>
    <row r="10">
      <c r="A10" s="8" t="s">
        <v>451</v>
      </c>
      <c r="B10" s="8" t="s">
        <v>452</v>
      </c>
      <c r="C10" s="9"/>
      <c r="D10" s="9"/>
      <c r="E10" s="9">
        <v>-2850.622361997945</v>
      </c>
      <c r="F10" s="9">
        <v>0.0</v>
      </c>
      <c r="G10" s="9">
        <v>0.0</v>
      </c>
    </row>
    <row r="11">
      <c r="A11" s="8" t="s">
        <v>451</v>
      </c>
      <c r="B11" s="8" t="s">
        <v>453</v>
      </c>
      <c r="C11" s="9">
        <v>799880.2564964498</v>
      </c>
      <c r="D11" s="9">
        <v>516130.0217718269</v>
      </c>
      <c r="E11" s="9">
        <v>562457.6436722979</v>
      </c>
      <c r="F11" s="9"/>
      <c r="G11" s="9"/>
    </row>
    <row r="12">
      <c r="A12" s="8" t="s">
        <v>454</v>
      </c>
      <c r="B12" s="8" t="s">
        <v>455</v>
      </c>
      <c r="C12" s="9">
        <v>-51539.15856508678</v>
      </c>
      <c r="D12" s="9">
        <v>-60340.21139525697</v>
      </c>
      <c r="E12" s="9">
        <v>-114505.2537791188</v>
      </c>
      <c r="F12" s="9">
        <v>-154997.3412309881</v>
      </c>
      <c r="G12" s="9">
        <v>-168010.0</v>
      </c>
    </row>
    <row r="13">
      <c r="A13" s="8" t="s">
        <v>456</v>
      </c>
      <c r="B13" s="8" t="s">
        <v>457</v>
      </c>
      <c r="C13" s="9">
        <v>105023.8050197254</v>
      </c>
      <c r="D13" s="9">
        <v>-343636.8970736029</v>
      </c>
      <c r="E13" s="9">
        <v>-153491.0883685375</v>
      </c>
      <c r="F13" s="9"/>
      <c r="G13" s="9"/>
    </row>
    <row r="14">
      <c r="A14" s="8" t="s">
        <v>456</v>
      </c>
      <c r="B14" s="8" t="s">
        <v>458</v>
      </c>
      <c r="C14" s="9"/>
      <c r="D14" s="9"/>
      <c r="E14" s="9">
        <v>1272881.718215102</v>
      </c>
      <c r="F14" s="9">
        <v>0.0</v>
      </c>
      <c r="G14" s="9">
        <v>0.0</v>
      </c>
    </row>
    <row r="15">
      <c r="A15" s="8" t="s">
        <v>459</v>
      </c>
      <c r="B15" s="8" t="s">
        <v>460</v>
      </c>
      <c r="C15" s="9">
        <v>10934.94357992427</v>
      </c>
      <c r="D15" s="9">
        <v>-126641.62524377</v>
      </c>
      <c r="E15" s="9"/>
      <c r="F15" s="9"/>
      <c r="G15" s="9"/>
    </row>
    <row r="16">
      <c r="A16" s="8" t="s">
        <v>459</v>
      </c>
      <c r="B16" s="8" t="s">
        <v>461</v>
      </c>
      <c r="C16" s="9"/>
      <c r="D16" s="9">
        <v>-126641.62524377</v>
      </c>
      <c r="E16" s="9">
        <v>61881.20932726511</v>
      </c>
      <c r="F16" s="9"/>
      <c r="G16" s="9"/>
    </row>
    <row r="17">
      <c r="A17" s="8" t="s">
        <v>459</v>
      </c>
      <c r="B17" s="8" t="s">
        <v>462</v>
      </c>
      <c r="C17" s="9"/>
      <c r="D17" s="9"/>
      <c r="E17" s="9">
        <v>-7618.477463038754</v>
      </c>
      <c r="F17" s="9">
        <v>30758.77479508688</v>
      </c>
      <c r="G17" s="9">
        <v>0.0</v>
      </c>
    </row>
    <row r="18">
      <c r="A18" s="8" t="s">
        <v>463</v>
      </c>
      <c r="B18" s="8" t="s">
        <v>464</v>
      </c>
      <c r="C18" s="9"/>
      <c r="D18" s="9"/>
      <c r="E18" s="9">
        <v>-91609.87904127243</v>
      </c>
      <c r="F18" s="9">
        <v>-25688.67016174173</v>
      </c>
      <c r="G18" s="9"/>
    </row>
    <row r="19">
      <c r="A19" s="8" t="s">
        <v>463</v>
      </c>
      <c r="B19" s="8" t="s">
        <v>465</v>
      </c>
      <c r="C19" s="9"/>
      <c r="D19" s="9"/>
      <c r="E19" s="9"/>
      <c r="F19" s="9">
        <v>-25688.67016174173</v>
      </c>
      <c r="G19" s="9">
        <v>36457.0</v>
      </c>
    </row>
    <row r="20">
      <c r="A20" s="8" t="s">
        <v>463</v>
      </c>
      <c r="B20" s="8" t="s">
        <v>466</v>
      </c>
      <c r="C20" s="9"/>
      <c r="D20" s="9">
        <v>-216873.9073527168</v>
      </c>
      <c r="E20" s="9">
        <v>-9350.714060595028</v>
      </c>
      <c r="F20" s="9"/>
      <c r="G20" s="9"/>
    </row>
    <row r="21">
      <c r="A21" s="8" t="s">
        <v>463</v>
      </c>
      <c r="B21" s="8" t="s">
        <v>467</v>
      </c>
      <c r="C21" s="9">
        <v>17609.33841247874</v>
      </c>
      <c r="D21" s="9">
        <v>-216873.9073527168</v>
      </c>
      <c r="E21" s="9"/>
      <c r="F21" s="9"/>
      <c r="G21" s="9"/>
    </row>
    <row r="22" ht="15.75" customHeight="1">
      <c r="A22" s="8" t="s">
        <v>468</v>
      </c>
      <c r="B22" s="8" t="s">
        <v>466</v>
      </c>
      <c r="C22" s="9"/>
      <c r="D22" s="9"/>
      <c r="E22" s="9">
        <v>-9350.714060595028</v>
      </c>
      <c r="F22" s="9">
        <v>-3372.018636634481</v>
      </c>
      <c r="G22" s="9">
        <v>101230.0</v>
      </c>
    </row>
    <row r="23" ht="15.75" customHeight="1">
      <c r="A23" s="8" t="s">
        <v>468</v>
      </c>
      <c r="B23" s="8" t="s">
        <v>469</v>
      </c>
      <c r="C23" s="9">
        <v>197107.9074335546</v>
      </c>
      <c r="D23" s="9">
        <v>-75307.76136395428</v>
      </c>
      <c r="E23" s="9"/>
      <c r="F23" s="9"/>
      <c r="G23" s="9"/>
    </row>
    <row r="24" ht="15.75" customHeight="1">
      <c r="A24" s="8" t="s">
        <v>468</v>
      </c>
      <c r="B24" s="8" t="s">
        <v>470</v>
      </c>
      <c r="C24" s="9"/>
      <c r="D24" s="9">
        <v>-75307.76136395428</v>
      </c>
      <c r="E24" s="9">
        <v>89080.8976979955</v>
      </c>
      <c r="F24" s="9"/>
      <c r="G24" s="9"/>
    </row>
    <row r="25" ht="15.75" customHeight="1">
      <c r="A25" s="8" t="s">
        <v>471</v>
      </c>
      <c r="B25" s="8" t="s">
        <v>472</v>
      </c>
      <c r="C25" s="9"/>
      <c r="D25" s="9"/>
      <c r="E25" s="9">
        <v>89080.8976979955</v>
      </c>
      <c r="F25" s="9">
        <v>-51456.10126952755</v>
      </c>
      <c r="G25" s="9"/>
    </row>
    <row r="26" ht="15.75" customHeight="1">
      <c r="A26" s="8" t="s">
        <v>471</v>
      </c>
      <c r="B26" s="8" t="s">
        <v>80</v>
      </c>
      <c r="C26" s="9">
        <v>470042.1932146657</v>
      </c>
      <c r="D26" s="9">
        <v>242988.2328878116</v>
      </c>
      <c r="E26" s="9"/>
      <c r="F26" s="9"/>
      <c r="G26" s="9"/>
    </row>
    <row r="27" ht="15.75" customHeight="1">
      <c r="A27" s="8" t="s">
        <v>471</v>
      </c>
      <c r="B27" s="8" t="s">
        <v>473</v>
      </c>
      <c r="C27" s="9"/>
      <c r="D27" s="9">
        <v>242988.2328878116</v>
      </c>
      <c r="E27" s="9">
        <v>-481830.8594173517</v>
      </c>
      <c r="F27" s="9"/>
      <c r="G27" s="9"/>
    </row>
    <row r="28" ht="15.75" customHeight="1">
      <c r="A28" s="8" t="s">
        <v>471</v>
      </c>
      <c r="B28" s="8" t="s">
        <v>474</v>
      </c>
      <c r="C28" s="9"/>
      <c r="D28" s="9"/>
      <c r="E28" s="9"/>
      <c r="F28" s="9">
        <v>-51456.10126952755</v>
      </c>
      <c r="G28" s="9">
        <v>121576.0</v>
      </c>
    </row>
    <row r="29" ht="15.75" customHeight="1">
      <c r="A29" s="8" t="s">
        <v>475</v>
      </c>
      <c r="B29" s="8" t="s">
        <v>476</v>
      </c>
      <c r="C29" s="9">
        <v>172703.3075573904</v>
      </c>
      <c r="D29" s="9">
        <v>136968.6389329198</v>
      </c>
      <c r="E29" s="9">
        <v>1058198.951592113</v>
      </c>
      <c r="F29" s="9"/>
      <c r="G29" s="9"/>
    </row>
    <row r="30" ht="15.75" customHeight="1">
      <c r="A30" s="8" t="s">
        <v>475</v>
      </c>
      <c r="B30" s="8" t="s">
        <v>477</v>
      </c>
      <c r="C30" s="9"/>
      <c r="D30" s="9"/>
      <c r="E30" s="9">
        <v>220311.4844506066</v>
      </c>
      <c r="F30" s="9">
        <v>-149630.04529457</v>
      </c>
      <c r="G30" s="9">
        <v>35263.0</v>
      </c>
    </row>
    <row r="31" ht="15.75" customHeight="1">
      <c r="A31" s="8" t="s">
        <v>478</v>
      </c>
      <c r="B31" s="8" t="s">
        <v>479</v>
      </c>
      <c r="C31" s="9">
        <v>-14770.13476004437</v>
      </c>
      <c r="D31" s="9">
        <v>-6002.025050104186</v>
      </c>
      <c r="E31" s="9">
        <v>-43890.33456769402</v>
      </c>
      <c r="F31" s="9"/>
      <c r="G31" s="9"/>
    </row>
    <row r="32" ht="15.75" customHeight="1">
      <c r="A32" s="8" t="s">
        <v>478</v>
      </c>
      <c r="B32" s="8" t="s">
        <v>269</v>
      </c>
      <c r="C32" s="9"/>
      <c r="D32" s="9"/>
      <c r="E32" s="9">
        <v>-481830.8594173517</v>
      </c>
      <c r="F32" s="9">
        <v>-236801.610230226</v>
      </c>
      <c r="G32" s="9">
        <v>1185100.0</v>
      </c>
    </row>
    <row r="33" ht="15.75" customHeight="1">
      <c r="A33" s="8" t="s">
        <v>480</v>
      </c>
      <c r="B33" s="8" t="s">
        <v>476</v>
      </c>
      <c r="C33" s="9"/>
      <c r="D33" s="9"/>
      <c r="E33" s="9">
        <v>1058198.951592113</v>
      </c>
      <c r="F33" s="9">
        <v>994393.6989148416</v>
      </c>
      <c r="G33" s="9">
        <v>938171.0</v>
      </c>
    </row>
    <row r="34" ht="15.75" customHeight="1">
      <c r="A34" s="8" t="s">
        <v>480</v>
      </c>
      <c r="B34" s="8" t="s">
        <v>481</v>
      </c>
      <c r="C34" s="9">
        <v>0.0</v>
      </c>
      <c r="D34" s="9">
        <v>0.0</v>
      </c>
      <c r="E34" s="9">
        <v>16235.513644329</v>
      </c>
      <c r="F34" s="9"/>
      <c r="G34" s="9"/>
    </row>
    <row r="35" ht="15.75" customHeight="1">
      <c r="A35" s="8" t="s">
        <v>482</v>
      </c>
      <c r="B35" s="8" t="s">
        <v>483</v>
      </c>
      <c r="C35" s="9">
        <v>462403.1896913538</v>
      </c>
      <c r="D35" s="9">
        <v>-125867.0992170838</v>
      </c>
      <c r="E35" s="9">
        <v>-125493.6041376462</v>
      </c>
      <c r="F35" s="9"/>
      <c r="G35" s="9"/>
    </row>
    <row r="36" ht="15.75" customHeight="1">
      <c r="A36" s="8" t="s">
        <v>482</v>
      </c>
      <c r="B36" s="8" t="s">
        <v>484</v>
      </c>
      <c r="C36" s="9"/>
      <c r="D36" s="9"/>
      <c r="E36" s="9">
        <v>-53232.63971276693</v>
      </c>
      <c r="F36" s="9">
        <v>-36980.88953257031</v>
      </c>
      <c r="G36" s="9">
        <v>-98541.0</v>
      </c>
    </row>
    <row r="37" ht="15.75" customHeight="1">
      <c r="A37" s="8" t="s">
        <v>485</v>
      </c>
      <c r="B37" s="8" t="s">
        <v>486</v>
      </c>
      <c r="C37" s="9"/>
      <c r="D37" s="9"/>
      <c r="E37" s="9">
        <v>-43890.33456769402</v>
      </c>
      <c r="F37" s="9">
        <v>-52487.34458973155</v>
      </c>
      <c r="G37" s="9">
        <v>23635.0</v>
      </c>
    </row>
    <row r="38" ht="15.75" customHeight="1">
      <c r="A38" s="8" t="s">
        <v>485</v>
      </c>
      <c r="B38" s="8" t="s">
        <v>487</v>
      </c>
      <c r="C38" s="9">
        <v>-53440.48364710996</v>
      </c>
      <c r="D38" s="9">
        <v>-309664.7733019562</v>
      </c>
      <c r="E38" s="9">
        <v>0.0</v>
      </c>
      <c r="F38" s="9"/>
      <c r="G38" s="9"/>
    </row>
    <row r="39" ht="15.75" customHeight="1">
      <c r="A39" s="8" t="s">
        <v>488</v>
      </c>
      <c r="B39" s="8" t="s">
        <v>489</v>
      </c>
      <c r="C39" s="9"/>
      <c r="D39" s="9">
        <v>191410.5367403354</v>
      </c>
      <c r="E39" s="9">
        <v>220311.4844506066</v>
      </c>
      <c r="F39" s="9"/>
      <c r="G39" s="9"/>
    </row>
    <row r="40" ht="15.75" customHeight="1">
      <c r="A40" s="8" t="s">
        <v>488</v>
      </c>
      <c r="B40" s="8" t="s">
        <v>490</v>
      </c>
      <c r="C40" s="9">
        <v>0.0</v>
      </c>
      <c r="D40" s="9">
        <v>0.0</v>
      </c>
      <c r="E40" s="9"/>
      <c r="F40" s="9"/>
      <c r="G40" s="9"/>
    </row>
    <row r="41" ht="15.75" customHeight="1">
      <c r="A41" s="8" t="s">
        <v>488</v>
      </c>
      <c r="B41" s="8" t="s">
        <v>483</v>
      </c>
      <c r="C41" s="9"/>
      <c r="D41" s="9"/>
      <c r="E41" s="9">
        <v>-125493.6041376462</v>
      </c>
      <c r="F41" s="9">
        <v>37144.71230034202</v>
      </c>
      <c r="G41" s="9">
        <v>47455.0</v>
      </c>
    </row>
    <row r="42" ht="15.75" customHeight="1">
      <c r="A42" s="8" t="s">
        <v>491</v>
      </c>
      <c r="B42" s="8" t="s">
        <v>492</v>
      </c>
      <c r="C42" s="9"/>
      <c r="D42" s="9">
        <v>-14217.29683743429</v>
      </c>
      <c r="E42" s="9">
        <v>-53232.63971276693</v>
      </c>
      <c r="F42" s="9"/>
      <c r="G42" s="9"/>
    </row>
    <row r="43" ht="15.75" customHeight="1">
      <c r="A43" s="8" t="s">
        <v>491</v>
      </c>
      <c r="B43" s="8" t="s">
        <v>493</v>
      </c>
      <c r="C43" s="9">
        <v>86554.45403958335</v>
      </c>
      <c r="D43" s="9">
        <v>191410.5367403354</v>
      </c>
      <c r="E43" s="9"/>
      <c r="F43" s="9"/>
      <c r="G43" s="9"/>
    </row>
    <row r="44" ht="15.75" customHeight="1">
      <c r="A44" s="8" t="s">
        <v>491</v>
      </c>
      <c r="B44" s="8" t="s">
        <v>494</v>
      </c>
      <c r="C44" s="9"/>
      <c r="D44" s="9"/>
      <c r="E44" s="9">
        <v>208405.511185728</v>
      </c>
      <c r="F44" s="9">
        <v>-36616.48888887297</v>
      </c>
      <c r="G44" s="9">
        <v>314349.0</v>
      </c>
    </row>
    <row r="45" ht="15.75" customHeight="1">
      <c r="A45" s="8" t="s">
        <v>495</v>
      </c>
      <c r="B45" s="8" t="s">
        <v>496</v>
      </c>
      <c r="C45" s="9">
        <v>-2026.840429736202</v>
      </c>
      <c r="D45" s="9">
        <v>-14217.29683743429</v>
      </c>
      <c r="E45" s="9"/>
      <c r="F45" s="9"/>
      <c r="G45" s="9"/>
    </row>
    <row r="46" ht="15.75" customHeight="1">
      <c r="A46" s="8" t="s">
        <v>495</v>
      </c>
      <c r="B46" s="8" t="s">
        <v>497</v>
      </c>
      <c r="C46" s="9"/>
      <c r="D46" s="9"/>
      <c r="E46" s="9">
        <v>98340.1648022875</v>
      </c>
      <c r="F46" s="9">
        <v>0.0</v>
      </c>
      <c r="G46" s="9">
        <v>0.0</v>
      </c>
    </row>
    <row r="47" ht="15.75" customHeight="1">
      <c r="A47" s="8" t="s">
        <v>495</v>
      </c>
      <c r="B47" s="8" t="s">
        <v>498</v>
      </c>
      <c r="C47" s="9"/>
      <c r="D47" s="9">
        <v>-18045.79443373236</v>
      </c>
      <c r="E47" s="9">
        <v>-2850.622361997945</v>
      </c>
      <c r="F47" s="9"/>
      <c r="G47" s="9"/>
    </row>
    <row r="48" ht="15.75" customHeight="1">
      <c r="A48" s="8" t="s">
        <v>499</v>
      </c>
      <c r="B48" s="8" t="s">
        <v>53</v>
      </c>
      <c r="C48" s="9"/>
      <c r="D48" s="9"/>
      <c r="E48" s="9">
        <v>16235.513644329</v>
      </c>
      <c r="F48" s="9">
        <v>25751.678918577</v>
      </c>
      <c r="G48" s="9">
        <v>26971.0</v>
      </c>
    </row>
    <row r="49" ht="15.75" customHeight="1">
      <c r="A49" s="8" t="s">
        <v>499</v>
      </c>
      <c r="B49" s="8" t="s">
        <v>500</v>
      </c>
      <c r="C49" s="9"/>
      <c r="D49" s="9">
        <v>192040.5287079108</v>
      </c>
      <c r="E49" s="9">
        <v>208405.511185728</v>
      </c>
      <c r="F49" s="9"/>
      <c r="G49" s="9"/>
    </row>
    <row r="50" ht="15.75" customHeight="1">
      <c r="A50" s="8" t="s">
        <v>499</v>
      </c>
      <c r="B50" s="8" t="s">
        <v>452</v>
      </c>
      <c r="C50" s="9">
        <v>-28532.6602009481</v>
      </c>
      <c r="D50" s="9">
        <v>-18045.79443373236</v>
      </c>
      <c r="E50" s="9"/>
      <c r="F50" s="9"/>
      <c r="G50" s="9"/>
    </row>
    <row r="51" ht="15.75" customHeight="1">
      <c r="A51" s="8" t="s">
        <v>501</v>
      </c>
      <c r="B51" s="8" t="s">
        <v>500</v>
      </c>
      <c r="C51" s="9">
        <v>121719.6706238483</v>
      </c>
      <c r="D51" s="9">
        <v>192040.5287079108</v>
      </c>
      <c r="E51" s="9"/>
      <c r="F51" s="9"/>
      <c r="G51" s="9"/>
    </row>
    <row r="52" ht="15.75" customHeight="1">
      <c r="A52" s="8" t="s">
        <v>501</v>
      </c>
      <c r="B52" s="8" t="s">
        <v>502</v>
      </c>
      <c r="C52" s="9"/>
      <c r="D52" s="9">
        <v>-7947.166624246406</v>
      </c>
      <c r="E52" s="9">
        <v>90721.68733924876</v>
      </c>
      <c r="F52" s="9"/>
      <c r="G52" s="9"/>
    </row>
    <row r="53" ht="15.75" customHeight="1">
      <c r="A53" s="8" t="s">
        <v>503</v>
      </c>
      <c r="B53" s="8" t="s">
        <v>53</v>
      </c>
      <c r="C53" s="9">
        <v>-22149.97233391185</v>
      </c>
      <c r="D53" s="9">
        <v>-7947.166624246406</v>
      </c>
      <c r="E53" s="9"/>
      <c r="F53" s="9"/>
      <c r="G53" s="9"/>
    </row>
    <row r="54" ht="15.75" customHeight="1">
      <c r="A54" s="8" t="s">
        <v>503</v>
      </c>
      <c r="B54" s="8" t="s">
        <v>458</v>
      </c>
      <c r="C54" s="9"/>
      <c r="D54" s="9">
        <v>0.0</v>
      </c>
      <c r="E54" s="9">
        <v>1272881.718215102</v>
      </c>
      <c r="F54" s="9"/>
      <c r="G54" s="9"/>
    </row>
    <row r="55" ht="15.75" customHeight="1">
      <c r="A55" s="8" t="s">
        <v>504</v>
      </c>
      <c r="B55" s="8" t="s">
        <v>505</v>
      </c>
      <c r="C55" s="9">
        <v>-6659895.485535331</v>
      </c>
      <c r="D55" s="9">
        <v>2741690.840171314</v>
      </c>
      <c r="E55" s="9">
        <v>1963600.550346263</v>
      </c>
      <c r="F55" s="9">
        <v>542864.5462656812</v>
      </c>
      <c r="G55" s="9">
        <v>-286865.0</v>
      </c>
    </row>
    <row r="56" ht="15.75" customHeight="1">
      <c r="A56" s="8" t="s">
        <v>506</v>
      </c>
      <c r="B56" s="8" t="s">
        <v>507</v>
      </c>
      <c r="C56" s="9">
        <v>-3309701.419874068</v>
      </c>
      <c r="D56" s="9">
        <v>-287342.5360200246</v>
      </c>
      <c r="E56" s="9">
        <v>966694.1839948673</v>
      </c>
      <c r="F56" s="9">
        <v>16872.69493453946</v>
      </c>
      <c r="G56" s="9">
        <v>-649344.0</v>
      </c>
    </row>
    <row r="57" ht="15.75" customHeight="1">
      <c r="A57" s="8" t="s">
        <v>508</v>
      </c>
      <c r="B57" s="8" t="s">
        <v>57</v>
      </c>
      <c r="C57" s="9">
        <v>-18535.59519143502</v>
      </c>
      <c r="D57" s="9">
        <v>30389.66506986575</v>
      </c>
      <c r="E57" s="9">
        <v>-31422.0150772738</v>
      </c>
      <c r="F57" s="9">
        <v>106712.6807221694</v>
      </c>
      <c r="G57" s="9">
        <v>-142693.0</v>
      </c>
    </row>
    <row r="58" ht="15.75" customHeight="1">
      <c r="A58" s="8" t="s">
        <v>509</v>
      </c>
      <c r="B58" s="8" t="s">
        <v>27</v>
      </c>
      <c r="C58" s="9"/>
      <c r="D58" s="9">
        <v>91093.96989647095</v>
      </c>
      <c r="E58" s="9">
        <v>9688.121795920006</v>
      </c>
      <c r="F58" s="9">
        <v>-23544.27213744786</v>
      </c>
      <c r="G58" s="9">
        <v>-913134.0</v>
      </c>
    </row>
    <row r="59" ht="15.75" customHeight="1">
      <c r="A59" s="8" t="s">
        <v>509</v>
      </c>
      <c r="B59" s="8" t="s">
        <v>510</v>
      </c>
      <c r="C59" s="9">
        <v>266865.3862833574</v>
      </c>
      <c r="D59" s="9">
        <v>91093.96989647095</v>
      </c>
      <c r="E59" s="9"/>
      <c r="F59" s="9"/>
      <c r="G59" s="9"/>
    </row>
    <row r="60" ht="15.75" customHeight="1">
      <c r="A60" s="8" t="s">
        <v>511</v>
      </c>
      <c r="B60" s="8" t="s">
        <v>29</v>
      </c>
      <c r="C60" s="9">
        <v>-311709.2307912708</v>
      </c>
      <c r="D60" s="9">
        <v>69860.70296829907</v>
      </c>
      <c r="E60" s="9">
        <v>-482396.3589862141</v>
      </c>
      <c r="F60" s="9">
        <v>34538.25005925613</v>
      </c>
      <c r="G60" s="9">
        <v>134368.0</v>
      </c>
    </row>
    <row r="61" ht="15.75" customHeight="1">
      <c r="A61" s="8" t="s">
        <v>512</v>
      </c>
      <c r="B61" s="8" t="s">
        <v>61</v>
      </c>
      <c r="C61" s="9">
        <v>192839.2234321664</v>
      </c>
      <c r="D61" s="9">
        <v>-691416.7360705773</v>
      </c>
      <c r="E61" s="9">
        <v>410664.105124788</v>
      </c>
      <c r="F61" s="9">
        <v>-41884.02096030198</v>
      </c>
      <c r="G61" s="9">
        <v>-535042.0</v>
      </c>
    </row>
    <row r="62" ht="15.75" customHeight="1">
      <c r="A62" s="8" t="s">
        <v>513</v>
      </c>
      <c r="B62" s="8" t="s">
        <v>35</v>
      </c>
      <c r="C62" s="9">
        <v>163330.3327490059</v>
      </c>
      <c r="D62" s="9">
        <v>2861565.844159148</v>
      </c>
      <c r="E62" s="9">
        <v>-1564887.616407285</v>
      </c>
      <c r="F62" s="9">
        <v>-1651310.395928055</v>
      </c>
      <c r="G62" s="9">
        <v>-1357756.0</v>
      </c>
    </row>
    <row r="63" ht="15.75" customHeight="1">
      <c r="A63" s="8" t="s">
        <v>514</v>
      </c>
      <c r="B63" s="8" t="s">
        <v>515</v>
      </c>
      <c r="C63" s="9">
        <v>-4208.250685822699</v>
      </c>
      <c r="D63" s="9">
        <v>23945.21133500205</v>
      </c>
      <c r="E63" s="9">
        <v>0.0</v>
      </c>
      <c r="F63" s="9"/>
      <c r="G63" s="9"/>
    </row>
    <row r="64" ht="15.75" customHeight="1">
      <c r="A64" s="8" t="s">
        <v>514</v>
      </c>
      <c r="B64" s="8" t="s">
        <v>55</v>
      </c>
      <c r="C64" s="9"/>
      <c r="D64" s="9"/>
      <c r="E64" s="9">
        <v>86132.52169305293</v>
      </c>
      <c r="F64" s="9">
        <v>-588290.7095060728</v>
      </c>
      <c r="G64" s="9">
        <v>-245720.0</v>
      </c>
    </row>
    <row r="65" ht="15.75" customHeight="1">
      <c r="A65" s="8" t="s">
        <v>516</v>
      </c>
      <c r="B65" s="8" t="s">
        <v>517</v>
      </c>
      <c r="C65" s="9"/>
      <c r="D65" s="9"/>
      <c r="E65" s="9">
        <v>1340126.764531038</v>
      </c>
      <c r="F65" s="9">
        <v>265893.8034070199</v>
      </c>
      <c r="G65" s="9"/>
    </row>
    <row r="66" ht="15.75" customHeight="1">
      <c r="A66" s="8" t="s">
        <v>516</v>
      </c>
      <c r="B66" s="8" t="s">
        <v>518</v>
      </c>
      <c r="C66" s="9"/>
      <c r="D66" s="9"/>
      <c r="E66" s="9"/>
      <c r="F66" s="9">
        <v>265893.8034070199</v>
      </c>
      <c r="G66" s="9">
        <v>985592.0</v>
      </c>
    </row>
    <row r="67" ht="15.75" customHeight="1">
      <c r="A67" s="8" t="s">
        <v>516</v>
      </c>
      <c r="B67" s="8" t="s">
        <v>55</v>
      </c>
      <c r="C67" s="9">
        <v>-406479.1292103297</v>
      </c>
      <c r="D67" s="9">
        <v>-222871.5191491076</v>
      </c>
      <c r="E67" s="9">
        <v>86132.52169305293</v>
      </c>
      <c r="F67" s="9"/>
      <c r="G67" s="9"/>
    </row>
    <row r="68" ht="15.75" customHeight="1">
      <c r="A68" s="8" t="s">
        <v>519</v>
      </c>
      <c r="B68" s="8" t="s">
        <v>139</v>
      </c>
      <c r="C68" s="9">
        <v>-1811201.575827794</v>
      </c>
      <c r="D68" s="9">
        <v>-52900.56894804143</v>
      </c>
      <c r="E68" s="9">
        <v>1269363.638183536</v>
      </c>
      <c r="F68" s="9"/>
      <c r="G68" s="9"/>
    </row>
    <row r="69" ht="15.75" customHeight="1">
      <c r="A69" s="8" t="s">
        <v>519</v>
      </c>
      <c r="B69" s="8" t="s">
        <v>520</v>
      </c>
      <c r="C69" s="9"/>
      <c r="D69" s="9"/>
      <c r="E69" s="9">
        <v>9209.864725599551</v>
      </c>
      <c r="F69" s="9">
        <v>386490.4636978422</v>
      </c>
      <c r="G69" s="9">
        <v>92662.0</v>
      </c>
    </row>
    <row r="70" ht="15.75" customHeight="1">
      <c r="A70" s="8" t="s">
        <v>521</v>
      </c>
      <c r="B70" s="8" t="s">
        <v>144</v>
      </c>
      <c r="C70" s="9">
        <v>0.0</v>
      </c>
      <c r="D70" s="9">
        <v>89101.38584491063</v>
      </c>
      <c r="E70" s="9">
        <v>70763.12634750207</v>
      </c>
      <c r="F70" s="9"/>
      <c r="G70" s="9"/>
    </row>
    <row r="71" ht="15.75" customHeight="1">
      <c r="A71" s="8" t="s">
        <v>521</v>
      </c>
      <c r="B71" s="8" t="s">
        <v>206</v>
      </c>
      <c r="C71" s="9"/>
      <c r="D71" s="9"/>
      <c r="E71" s="9">
        <v>2453780.411762638</v>
      </c>
      <c r="F71" s="9">
        <v>3057408.562734321</v>
      </c>
      <c r="G71" s="9">
        <v>4139550.0</v>
      </c>
    </row>
    <row r="72" ht="15.75" customHeight="1">
      <c r="A72" s="8" t="s">
        <v>522</v>
      </c>
      <c r="B72" s="8" t="s">
        <v>523</v>
      </c>
      <c r="C72" s="9">
        <v>-22808.92790940521</v>
      </c>
      <c r="D72" s="9">
        <v>-23994.86043927681</v>
      </c>
      <c r="E72" s="9">
        <v>0.0</v>
      </c>
      <c r="F72" s="9"/>
      <c r="G72" s="9"/>
    </row>
    <row r="73" ht="15.75" customHeight="1">
      <c r="A73" s="8" t="s">
        <v>522</v>
      </c>
      <c r="B73" s="8" t="s">
        <v>524</v>
      </c>
      <c r="C73" s="9"/>
      <c r="D73" s="9"/>
      <c r="E73" s="9">
        <v>199040.0815229693</v>
      </c>
      <c r="F73" s="9">
        <v>512310.5499303089</v>
      </c>
      <c r="G73" s="9">
        <v>-314941.0</v>
      </c>
    </row>
    <row r="74" ht="15.75" customHeight="1">
      <c r="A74" s="8" t="s">
        <v>525</v>
      </c>
      <c r="B74" s="8" t="s">
        <v>520</v>
      </c>
      <c r="C74" s="9">
        <v>-228600.6379180681</v>
      </c>
      <c r="D74" s="9">
        <v>-224855.2766932414</v>
      </c>
      <c r="E74" s="9">
        <v>9209.864725599551</v>
      </c>
      <c r="F74" s="9"/>
      <c r="G74" s="9"/>
    </row>
    <row r="75" ht="15.75" customHeight="1">
      <c r="A75" s="8" t="s">
        <v>525</v>
      </c>
      <c r="B75" s="8" t="s">
        <v>526</v>
      </c>
      <c r="C75" s="9"/>
      <c r="D75" s="9"/>
      <c r="E75" s="9">
        <v>-85695.25808590281</v>
      </c>
      <c r="F75" s="9">
        <v>-16384.37706906608</v>
      </c>
      <c r="G75" s="9">
        <v>0.0</v>
      </c>
    </row>
    <row r="76" ht="15.75" customHeight="1">
      <c r="A76" s="8" t="s">
        <v>527</v>
      </c>
      <c r="B76" s="8" t="s">
        <v>528</v>
      </c>
      <c r="C76" s="9">
        <v>0.0</v>
      </c>
      <c r="D76" s="9">
        <v>0.0</v>
      </c>
      <c r="E76" s="9">
        <v>0.0</v>
      </c>
      <c r="F76" s="9"/>
      <c r="G76" s="9"/>
    </row>
    <row r="77" ht="15.75" customHeight="1">
      <c r="A77" s="8" t="s">
        <v>527</v>
      </c>
      <c r="B77" s="8" t="s">
        <v>295</v>
      </c>
      <c r="C77" s="9"/>
      <c r="D77" s="9"/>
      <c r="E77" s="9">
        <v>-77621.64807022942</v>
      </c>
      <c r="F77" s="9">
        <v>14493.06421806057</v>
      </c>
      <c r="G77" s="9">
        <v>20463.0</v>
      </c>
    </row>
    <row r="78" ht="15.75" customHeight="1">
      <c r="A78" s="8" t="s">
        <v>529</v>
      </c>
      <c r="B78" s="8" t="s">
        <v>530</v>
      </c>
      <c r="C78" s="9">
        <v>0.0</v>
      </c>
      <c r="D78" s="9">
        <v>0.0</v>
      </c>
      <c r="E78" s="9"/>
      <c r="F78" s="9"/>
      <c r="G78" s="9"/>
    </row>
    <row r="79" ht="15.75" customHeight="1">
      <c r="A79" s="8" t="s">
        <v>529</v>
      </c>
      <c r="B79" s="8" t="s">
        <v>531</v>
      </c>
      <c r="C79" s="9"/>
      <c r="D79" s="9"/>
      <c r="E79" s="9">
        <v>-273622.9577463934</v>
      </c>
      <c r="F79" s="9">
        <v>-628202.5563774307</v>
      </c>
      <c r="G79" s="9">
        <v>-569343.0</v>
      </c>
    </row>
    <row r="80" ht="15.75" customHeight="1">
      <c r="A80" s="8" t="s">
        <v>529</v>
      </c>
      <c r="B80" s="8" t="s">
        <v>532</v>
      </c>
      <c r="C80" s="9"/>
      <c r="D80" s="9">
        <v>138059.8159135362</v>
      </c>
      <c r="E80" s="9">
        <v>199040.0815229693</v>
      </c>
      <c r="F80" s="9"/>
      <c r="G80" s="9"/>
    </row>
    <row r="81" ht="15.75" customHeight="1">
      <c r="A81" s="8" t="s">
        <v>533</v>
      </c>
      <c r="B81" s="8" t="s">
        <v>534</v>
      </c>
      <c r="C81" s="9"/>
      <c r="D81" s="9">
        <v>-331951.7045541813</v>
      </c>
      <c r="E81" s="9">
        <v>-85695.25808590281</v>
      </c>
      <c r="F81" s="9"/>
      <c r="G81" s="9"/>
    </row>
    <row r="82" ht="15.75" customHeight="1">
      <c r="A82" s="8" t="s">
        <v>533</v>
      </c>
      <c r="B82" s="8" t="s">
        <v>524</v>
      </c>
      <c r="C82" s="9">
        <v>-308483.021483388</v>
      </c>
      <c r="D82" s="9">
        <v>4019.370819398814</v>
      </c>
      <c r="E82" s="9"/>
      <c r="F82" s="9"/>
      <c r="G82" s="9"/>
    </row>
    <row r="83" ht="15.75" customHeight="1">
      <c r="A83" s="8" t="s">
        <v>533</v>
      </c>
      <c r="B83" s="8" t="s">
        <v>535</v>
      </c>
      <c r="C83" s="9"/>
      <c r="D83" s="9"/>
      <c r="E83" s="9">
        <v>-996089.6504313104</v>
      </c>
      <c r="F83" s="9">
        <v>-902239.1914594626</v>
      </c>
      <c r="G83" s="9">
        <v>-931527.0</v>
      </c>
    </row>
    <row r="84" ht="15.75" customHeight="1">
      <c r="A84" s="8" t="s">
        <v>536</v>
      </c>
      <c r="B84" s="8" t="s">
        <v>202</v>
      </c>
      <c r="C84" s="9"/>
      <c r="D84" s="9">
        <v>84911.00144412098</v>
      </c>
      <c r="E84" s="9">
        <v>-77621.64807022942</v>
      </c>
      <c r="F84" s="9"/>
      <c r="G84" s="9"/>
    </row>
    <row r="85" ht="15.75" customHeight="1">
      <c r="A85" s="8" t="s">
        <v>536</v>
      </c>
      <c r="B85" s="8" t="s">
        <v>534</v>
      </c>
      <c r="C85" s="9">
        <v>-36707.42831033139</v>
      </c>
      <c r="D85" s="9">
        <v>-331951.7045541813</v>
      </c>
      <c r="E85" s="9"/>
      <c r="F85" s="9"/>
      <c r="G85" s="9"/>
    </row>
    <row r="86" ht="15.75" customHeight="1">
      <c r="A86" s="8" t="s">
        <v>537</v>
      </c>
      <c r="B86" s="8" t="s">
        <v>538</v>
      </c>
      <c r="C86" s="9"/>
      <c r="D86" s="9">
        <v>1322136.890508548</v>
      </c>
      <c r="E86" s="9">
        <v>2453780.411762638</v>
      </c>
      <c r="F86" s="9"/>
      <c r="G86" s="9"/>
    </row>
    <row r="87" ht="15.75" customHeight="1">
      <c r="A87" s="8" t="s">
        <v>537</v>
      </c>
      <c r="B87" s="8" t="s">
        <v>202</v>
      </c>
      <c r="C87" s="9">
        <v>-18877.27586020936</v>
      </c>
      <c r="D87" s="9">
        <v>84911.00144412098</v>
      </c>
      <c r="E87" s="9"/>
      <c r="F87" s="9"/>
      <c r="G87" s="9"/>
    </row>
    <row r="88" ht="15.75" customHeight="1">
      <c r="A88" s="8" t="s">
        <v>539</v>
      </c>
      <c r="B88" s="8" t="s">
        <v>535</v>
      </c>
      <c r="C88" s="9"/>
      <c r="D88" s="9">
        <v>-1234924.377252935</v>
      </c>
      <c r="E88" s="9">
        <v>-996089.6504313104</v>
      </c>
      <c r="F88" s="9"/>
      <c r="G88" s="9"/>
    </row>
    <row r="89" ht="15.75" customHeight="1">
      <c r="A89" s="8" t="s">
        <v>539</v>
      </c>
      <c r="B89" s="8" t="s">
        <v>538</v>
      </c>
      <c r="C89" s="9">
        <v>-805617.9349377386</v>
      </c>
      <c r="D89" s="9">
        <v>1322136.890508548</v>
      </c>
      <c r="E89" s="9"/>
      <c r="F89" s="9"/>
      <c r="G89" s="9"/>
    </row>
    <row r="90" ht="15.75" customHeight="1">
      <c r="A90" s="8" t="s">
        <v>540</v>
      </c>
      <c r="B90" s="8" t="s">
        <v>531</v>
      </c>
      <c r="C90" s="9"/>
      <c r="D90" s="9">
        <v>-134040.4450941374</v>
      </c>
      <c r="E90" s="9">
        <v>-273622.9577463934</v>
      </c>
      <c r="F90" s="9"/>
      <c r="G90" s="9"/>
    </row>
    <row r="91" ht="15.75" customHeight="1">
      <c r="A91" s="8" t="s">
        <v>541</v>
      </c>
      <c r="B91" s="8" t="s">
        <v>53</v>
      </c>
      <c r="C91" s="9">
        <v>0.0</v>
      </c>
      <c r="D91" s="9">
        <v>0.0</v>
      </c>
      <c r="E91" s="9">
        <v>0.0</v>
      </c>
      <c r="F91" s="9">
        <v>0.0</v>
      </c>
      <c r="G91" s="9">
        <v>0.0</v>
      </c>
    </row>
    <row r="92" ht="15.75" customHeight="1">
      <c r="A92" s="8" t="s">
        <v>542</v>
      </c>
      <c r="B92" s="8" t="s">
        <v>543</v>
      </c>
      <c r="C92" s="9">
        <v>-1096280.101404168</v>
      </c>
      <c r="D92" s="9">
        <v>-871740.076169645</v>
      </c>
      <c r="E92" s="9">
        <v>-625023.1285001754</v>
      </c>
      <c r="F92" s="9">
        <v>-2362790.576068721</v>
      </c>
      <c r="G92" s="9">
        <v>-3214108.0</v>
      </c>
    </row>
    <row r="93" ht="15.75" customHeight="1">
      <c r="A93" s="8" t="s">
        <v>544</v>
      </c>
      <c r="B93" s="8" t="s">
        <v>545</v>
      </c>
      <c r="C93" s="9">
        <v>-608387.9986939074</v>
      </c>
      <c r="D93" s="9">
        <v>-606646.9587452823</v>
      </c>
      <c r="E93" s="9">
        <v>-737742.5388452844</v>
      </c>
      <c r="F93" s="9">
        <v>-1247166.978856863</v>
      </c>
      <c r="G93" s="9">
        <v>-1068625.0</v>
      </c>
    </row>
    <row r="94" ht="15.75" customHeight="1">
      <c r="A94" s="8" t="s">
        <v>546</v>
      </c>
      <c r="B94" s="8" t="s">
        <v>547</v>
      </c>
      <c r="C94" s="9">
        <v>68755.68042638958</v>
      </c>
      <c r="D94" s="9">
        <v>21633.76970265494</v>
      </c>
      <c r="E94" s="9">
        <v>29765.45871941659</v>
      </c>
      <c r="F94" s="9">
        <v>100480.0645252135</v>
      </c>
      <c r="G94" s="9">
        <v>68873.0</v>
      </c>
    </row>
    <row r="95" ht="15.75" customHeight="1">
      <c r="A95" s="8" t="s">
        <v>548</v>
      </c>
      <c r="B95" s="8" t="s">
        <v>549</v>
      </c>
      <c r="C95" s="9">
        <v>-731082.7376208225</v>
      </c>
      <c r="D95" s="9">
        <v>-999715.6073482634</v>
      </c>
      <c r="E95" s="9">
        <v>-648770.9570490764</v>
      </c>
      <c r="F95" s="9">
        <v>-1002877.828022712</v>
      </c>
      <c r="G95" s="9">
        <v>-1445222.0</v>
      </c>
    </row>
    <row r="96" ht="15.75" customHeight="1">
      <c r="A96" s="8" t="s">
        <v>550</v>
      </c>
      <c r="B96" s="8" t="s">
        <v>551</v>
      </c>
      <c r="C96" s="9">
        <v>-10862.88847290383</v>
      </c>
      <c r="D96" s="9">
        <v>-4388.980817888686</v>
      </c>
      <c r="E96" s="9">
        <v>-2121.148940454223</v>
      </c>
      <c r="F96" s="9"/>
      <c r="G96" s="9"/>
    </row>
    <row r="97" ht="15.75" customHeight="1">
      <c r="A97" s="8" t="s">
        <v>550</v>
      </c>
      <c r="B97" s="8" t="s">
        <v>552</v>
      </c>
      <c r="C97" s="9"/>
      <c r="D97" s="9"/>
      <c r="E97" s="9">
        <v>-2121.148940454223</v>
      </c>
      <c r="F97" s="9">
        <v>-130538.3919734815</v>
      </c>
      <c r="G97" s="9">
        <v>-95405.0</v>
      </c>
    </row>
    <row r="98" ht="15.75" customHeight="1">
      <c r="A98" s="8" t="s">
        <v>553</v>
      </c>
      <c r="B98" s="8" t="s">
        <v>554</v>
      </c>
      <c r="C98" s="9">
        <v>-24279.08452845125</v>
      </c>
      <c r="D98" s="9">
        <v>0.0</v>
      </c>
      <c r="E98" s="9"/>
      <c r="F98" s="9"/>
      <c r="G98" s="9"/>
    </row>
    <row r="99" ht="15.75" customHeight="1">
      <c r="A99" s="8" t="s">
        <v>553</v>
      </c>
      <c r="B99" s="8" t="s">
        <v>555</v>
      </c>
      <c r="C99" s="9"/>
      <c r="D99" s="9"/>
      <c r="E99" s="9">
        <v>0.0</v>
      </c>
      <c r="F99" s="9">
        <v>0.0</v>
      </c>
      <c r="G99" s="9">
        <v>0.0</v>
      </c>
    </row>
    <row r="100" ht="15.75" customHeight="1">
      <c r="A100" s="8" t="s">
        <v>553</v>
      </c>
      <c r="B100" s="8" t="s">
        <v>556</v>
      </c>
      <c r="C100" s="9"/>
      <c r="D100" s="9">
        <v>733409.9484661684</v>
      </c>
      <c r="E100" s="9">
        <v>-94932.45178694924</v>
      </c>
      <c r="F100" s="9"/>
      <c r="G100" s="9"/>
    </row>
    <row r="101" ht="15.75" customHeight="1">
      <c r="A101" s="8" t="s">
        <v>557</v>
      </c>
      <c r="B101" s="8" t="s">
        <v>507</v>
      </c>
      <c r="C101" s="9"/>
      <c r="D101" s="9"/>
      <c r="E101" s="9">
        <v>-94932.45178694924</v>
      </c>
      <c r="F101" s="9">
        <v>-14984.53252137571</v>
      </c>
      <c r="G101" s="9"/>
    </row>
    <row r="102" ht="15.75" customHeight="1">
      <c r="A102" s="8" t="s">
        <v>557</v>
      </c>
      <c r="B102" s="8" t="s">
        <v>558</v>
      </c>
      <c r="C102" s="9"/>
      <c r="D102" s="9">
        <v>-1797.297574746271</v>
      </c>
      <c r="E102" s="9">
        <v>0.0</v>
      </c>
      <c r="F102" s="9"/>
      <c r="G102" s="9"/>
    </row>
    <row r="103" ht="15.75" customHeight="1">
      <c r="A103" s="8" t="s">
        <v>557</v>
      </c>
      <c r="B103" s="8" t="s">
        <v>559</v>
      </c>
      <c r="C103" s="9"/>
      <c r="D103" s="9"/>
      <c r="E103" s="9"/>
      <c r="F103" s="9">
        <v>-623968.3679181002</v>
      </c>
      <c r="G103" s="9">
        <v>-1450874.0</v>
      </c>
    </row>
    <row r="104" ht="15.75" customHeight="1">
      <c r="A104" s="8" t="s">
        <v>557</v>
      </c>
      <c r="B104" s="8" t="s">
        <v>556</v>
      </c>
      <c r="C104" s="9">
        <v>206674.9661592361</v>
      </c>
      <c r="D104" s="9">
        <v>733409.9484661684</v>
      </c>
      <c r="E104" s="9"/>
      <c r="F104" s="9"/>
      <c r="G104" s="9"/>
    </row>
    <row r="105" ht="15.75" customHeight="1">
      <c r="A105" s="8" t="s">
        <v>560</v>
      </c>
      <c r="B105" s="8" t="s">
        <v>561</v>
      </c>
      <c r="C105" s="9"/>
      <c r="D105" s="9">
        <v>0.0</v>
      </c>
      <c r="E105" s="9">
        <v>824103.1523718748</v>
      </c>
      <c r="F105" s="9">
        <v>211987.7116425474</v>
      </c>
      <c r="G105" s="9"/>
    </row>
    <row r="106" ht="15.75" customHeight="1">
      <c r="A106" s="8" t="s">
        <v>560</v>
      </c>
      <c r="B106" s="8" t="s">
        <v>562</v>
      </c>
      <c r="C106" s="9"/>
      <c r="D106" s="9"/>
      <c r="E106" s="9"/>
      <c r="F106" s="9">
        <v>608983.8353967245</v>
      </c>
      <c r="G106" s="9">
        <v>476791.0</v>
      </c>
    </row>
    <row r="107" ht="15.75" customHeight="1">
      <c r="A107" s="8" t="s">
        <v>560</v>
      </c>
      <c r="B107" s="8" t="s">
        <v>558</v>
      </c>
      <c r="C107" s="9">
        <v>0.0</v>
      </c>
      <c r="D107" s="9">
        <v>-1797.297574746271</v>
      </c>
      <c r="E107" s="9"/>
      <c r="F107" s="9"/>
      <c r="G107" s="9"/>
    </row>
    <row r="108" ht="15.75" customHeight="1">
      <c r="A108" s="8" t="s">
        <v>563</v>
      </c>
      <c r="B108" s="8" t="s">
        <v>561</v>
      </c>
      <c r="C108" s="9"/>
      <c r="D108" s="9"/>
      <c r="E108" s="9"/>
      <c r="F108" s="9">
        <v>211987.7116425474</v>
      </c>
      <c r="G108" s="9">
        <v>0.0</v>
      </c>
    </row>
    <row r="109" ht="15.75" customHeight="1">
      <c r="A109" s="8" t="s">
        <v>563</v>
      </c>
      <c r="B109" s="8" t="s">
        <v>564</v>
      </c>
      <c r="C109" s="9">
        <v>0.0</v>
      </c>
      <c r="D109" s="9">
        <v>-23893.35560387064</v>
      </c>
      <c r="E109" s="9"/>
      <c r="F109" s="9"/>
      <c r="G109" s="9"/>
    </row>
    <row r="110" ht="15.75" customHeight="1">
      <c r="A110" s="8" t="s">
        <v>563</v>
      </c>
      <c r="B110" s="8" t="s">
        <v>565</v>
      </c>
      <c r="C110" s="9"/>
      <c r="D110" s="9">
        <v>9658.405751583095</v>
      </c>
      <c r="E110" s="9">
        <v>4675.357030297514</v>
      </c>
      <c r="F110" s="9"/>
      <c r="G110" s="9"/>
    </row>
    <row r="111" ht="15.75" customHeight="1">
      <c r="A111" s="8" t="s">
        <v>563</v>
      </c>
      <c r="B111" s="8" t="s">
        <v>566</v>
      </c>
      <c r="C111" s="9"/>
      <c r="D111" s="9"/>
      <c r="E111" s="9">
        <v>0.0</v>
      </c>
      <c r="F111" s="9">
        <v>-311378.7748204578</v>
      </c>
      <c r="G111" s="9"/>
    </row>
    <row r="112" ht="15.75" customHeight="1">
      <c r="A112" s="8" t="s">
        <v>567</v>
      </c>
      <c r="B112" s="8" t="s">
        <v>564</v>
      </c>
      <c r="C112" s="9"/>
      <c r="D112" s="9">
        <v>-23893.35560387064</v>
      </c>
      <c r="E112" s="9">
        <v>0.0</v>
      </c>
      <c r="F112" s="9"/>
      <c r="G112" s="9"/>
    </row>
    <row r="113" ht="15.75" customHeight="1">
      <c r="A113" s="8" t="s">
        <v>567</v>
      </c>
      <c r="B113" s="8" t="s">
        <v>565</v>
      </c>
      <c r="C113" s="9">
        <v>2901.961326290881</v>
      </c>
      <c r="D113" s="9">
        <v>9658.405751583095</v>
      </c>
      <c r="E113" s="9"/>
      <c r="F113" s="9"/>
      <c r="G113" s="9"/>
    </row>
    <row r="114" ht="15.75" customHeight="1">
      <c r="A114" s="8" t="s">
        <v>567</v>
      </c>
      <c r="B114" s="8" t="s">
        <v>568</v>
      </c>
      <c r="C114" s="9"/>
      <c r="D114" s="9"/>
      <c r="E114" s="9">
        <v>4675.357030297514</v>
      </c>
      <c r="F114" s="9">
        <v>31688.15395840719</v>
      </c>
      <c r="G114" s="9"/>
    </row>
    <row r="115" ht="15.75" customHeight="1">
      <c r="A115" s="8" t="s">
        <v>567</v>
      </c>
      <c r="B115" s="8" t="s">
        <v>569</v>
      </c>
      <c r="C115" s="9"/>
      <c r="D115" s="9"/>
      <c r="E115" s="9"/>
      <c r="F115" s="9">
        <v>-311378.7748204578</v>
      </c>
      <c r="G115" s="9">
        <v>297483.0</v>
      </c>
    </row>
    <row r="116" ht="15.75" customHeight="1">
      <c r="A116" s="8" t="s">
        <v>570</v>
      </c>
      <c r="B116" s="8" t="s">
        <v>568</v>
      </c>
      <c r="C116" s="9"/>
      <c r="D116" s="9"/>
      <c r="E116" s="9"/>
      <c r="F116" s="9">
        <v>31688.15395840719</v>
      </c>
      <c r="G116" s="9">
        <v>2871.0</v>
      </c>
    </row>
    <row r="117" ht="15.75" customHeight="1">
      <c r="A117" s="8" t="s">
        <v>571</v>
      </c>
      <c r="B117" s="8" t="s">
        <v>572</v>
      </c>
      <c r="C117" s="9">
        <v>6091960.618537673</v>
      </c>
      <c r="D117" s="9">
        <v>-2625820.86392831</v>
      </c>
      <c r="E117" s="9">
        <v>-3546668.242112367</v>
      </c>
      <c r="F117" s="9">
        <v>-1809531.685217114</v>
      </c>
      <c r="G117" s="9">
        <v>-1911350.0</v>
      </c>
    </row>
    <row r="118" ht="15.75" customHeight="1">
      <c r="A118" s="8" t="s">
        <v>573</v>
      </c>
      <c r="B118" s="8" t="s">
        <v>574</v>
      </c>
      <c r="C118" s="9">
        <v>1.26391967820674E7</v>
      </c>
      <c r="D118" s="9">
        <v>372797.4709843113</v>
      </c>
      <c r="E118" s="9">
        <v>805270.3349456516</v>
      </c>
      <c r="F118" s="9">
        <v>1.042388624156813E7</v>
      </c>
      <c r="G118" s="9"/>
    </row>
    <row r="119" ht="15.75" customHeight="1">
      <c r="A119" s="8" t="s">
        <v>573</v>
      </c>
      <c r="B119" s="8" t="s">
        <v>575</v>
      </c>
      <c r="C119" s="9"/>
      <c r="D119" s="9"/>
      <c r="E119" s="9"/>
      <c r="F119" s="9">
        <v>1.042388624156813E7</v>
      </c>
      <c r="G119" s="9">
        <v>4216459.0</v>
      </c>
    </row>
    <row r="120" ht="15.75" customHeight="1">
      <c r="A120" s="8" t="s">
        <v>576</v>
      </c>
      <c r="B120" s="8" t="s">
        <v>577</v>
      </c>
      <c r="C120" s="9">
        <v>-6494862.560338181</v>
      </c>
      <c r="D120" s="9">
        <v>-2921885.092599267</v>
      </c>
      <c r="E120" s="9">
        <v>-5121166.197846993</v>
      </c>
      <c r="F120" s="9">
        <v>-1.214101453474036E7</v>
      </c>
      <c r="G120" s="9">
        <v>-6375637.0</v>
      </c>
    </row>
    <row r="121" ht="15.75" customHeight="1">
      <c r="A121" s="8" t="s">
        <v>578</v>
      </c>
      <c r="B121" s="8" t="s">
        <v>579</v>
      </c>
      <c r="C121" s="9"/>
      <c r="D121" s="9"/>
      <c r="E121" s="9">
        <v>0.0</v>
      </c>
      <c r="F121" s="9">
        <v>49253.94521813468</v>
      </c>
      <c r="G121" s="9">
        <v>0.0</v>
      </c>
    </row>
    <row r="122" ht="15.75" customHeight="1">
      <c r="A122" s="8" t="s">
        <v>578</v>
      </c>
      <c r="B122" s="8" t="s">
        <v>580</v>
      </c>
      <c r="C122" s="9">
        <v>0.0</v>
      </c>
      <c r="D122" s="9">
        <v>0.0</v>
      </c>
      <c r="E122" s="9"/>
      <c r="F122" s="9"/>
      <c r="G122" s="9"/>
    </row>
    <row r="123" ht="15.75" customHeight="1">
      <c r="A123" s="8" t="s">
        <v>578</v>
      </c>
      <c r="B123" s="8" t="s">
        <v>581</v>
      </c>
      <c r="C123" s="9"/>
      <c r="D123" s="9">
        <v>0.0</v>
      </c>
      <c r="E123" s="9">
        <v>1082614.237810582</v>
      </c>
      <c r="F123" s="9"/>
      <c r="G123" s="9"/>
    </row>
    <row r="124" ht="15.75" customHeight="1">
      <c r="A124" s="8" t="s">
        <v>582</v>
      </c>
      <c r="B124" s="8" t="s">
        <v>583</v>
      </c>
      <c r="C124" s="9"/>
      <c r="D124" s="9">
        <v>0.0</v>
      </c>
      <c r="E124" s="9">
        <v>-249401.076584933</v>
      </c>
      <c r="F124" s="9"/>
      <c r="G124" s="9"/>
    </row>
    <row r="125" ht="15.75" customHeight="1">
      <c r="A125" s="8" t="s">
        <v>582</v>
      </c>
      <c r="B125" s="8" t="s">
        <v>580</v>
      </c>
      <c r="C125" s="9"/>
      <c r="D125" s="9"/>
      <c r="E125" s="9">
        <v>0.0</v>
      </c>
      <c r="F125" s="9">
        <v>-69988.02680072926</v>
      </c>
      <c r="G125" s="9">
        <v>0.0</v>
      </c>
    </row>
    <row r="126" ht="15.75" customHeight="1">
      <c r="A126" s="8" t="s">
        <v>582</v>
      </c>
      <c r="B126" s="8" t="s">
        <v>584</v>
      </c>
      <c r="C126" s="9">
        <v>1660.753998906555</v>
      </c>
      <c r="D126" s="9">
        <v>0.0</v>
      </c>
      <c r="E126" s="9"/>
      <c r="F126" s="9"/>
      <c r="G126" s="9"/>
    </row>
    <row r="127" ht="15.75" customHeight="1">
      <c r="A127" s="8" t="s">
        <v>585</v>
      </c>
      <c r="B127" s="8" t="s">
        <v>581</v>
      </c>
      <c r="C127" s="9"/>
      <c r="D127" s="9"/>
      <c r="E127" s="9">
        <v>1082614.237810582</v>
      </c>
      <c r="F127" s="9">
        <v>0.0</v>
      </c>
      <c r="G127" s="9">
        <v>363608.0</v>
      </c>
    </row>
    <row r="128" ht="15.75" customHeight="1">
      <c r="A128" s="8" t="s">
        <v>585</v>
      </c>
      <c r="B128" s="8" t="s">
        <v>586</v>
      </c>
      <c r="C128" s="9">
        <v>0.0</v>
      </c>
      <c r="D128" s="9">
        <v>-14871.56170043278</v>
      </c>
      <c r="E128" s="9">
        <v>0.0</v>
      </c>
      <c r="F128" s="9"/>
      <c r="G128" s="9"/>
    </row>
    <row r="129" ht="15.75" customHeight="1">
      <c r="A129" s="8" t="s">
        <v>587</v>
      </c>
      <c r="B129" s="8" t="s">
        <v>583</v>
      </c>
      <c r="C129" s="9"/>
      <c r="D129" s="9"/>
      <c r="E129" s="9">
        <v>-249401.076584933</v>
      </c>
      <c r="F129" s="9">
        <v>0.0</v>
      </c>
      <c r="G129" s="9">
        <v>-13061.0</v>
      </c>
    </row>
    <row r="130" ht="15.75" customHeight="1">
      <c r="A130" s="8" t="s">
        <v>587</v>
      </c>
      <c r="B130" s="8" t="s">
        <v>588</v>
      </c>
      <c r="C130" s="9">
        <v>-54034.35719045583</v>
      </c>
      <c r="D130" s="9">
        <v>-61861.68061292125</v>
      </c>
      <c r="E130" s="9">
        <v>-63985.5404366751</v>
      </c>
      <c r="F130" s="9"/>
      <c r="G130" s="9"/>
    </row>
    <row r="131" ht="15.75" customHeight="1">
      <c r="A131" s="8" t="s">
        <v>589</v>
      </c>
      <c r="B131" s="8" t="s">
        <v>588</v>
      </c>
      <c r="C131" s="9"/>
      <c r="D131" s="9"/>
      <c r="E131" s="9">
        <v>-63985.5404366751</v>
      </c>
      <c r="F131" s="9">
        <v>-71669.31046228386</v>
      </c>
      <c r="G131" s="9">
        <v>-102719.0</v>
      </c>
    </row>
    <row r="132" ht="15.75" customHeight="1">
      <c r="A132" s="8" t="s">
        <v>590</v>
      </c>
      <c r="B132" s="8" t="s">
        <v>591</v>
      </c>
      <c r="C132" s="9">
        <v>3135928.907502826</v>
      </c>
      <c r="D132" s="9">
        <v>872908.4850902442</v>
      </c>
      <c r="E132" s="9">
        <v>-692909.3546246729</v>
      </c>
      <c r="F132" s="9">
        <v>-476567.7824695517</v>
      </c>
      <c r="G132" s="9">
        <v>1398210.0</v>
      </c>
    </row>
    <row r="133" ht="15.75" customHeight="1">
      <c r="A133" s="8" t="s">
        <v>592</v>
      </c>
      <c r="B133" s="8" t="s">
        <v>593</v>
      </c>
      <c r="C133" s="9">
        <v>563075.7959903611</v>
      </c>
      <c r="D133" s="9">
        <v>523325.8319513819</v>
      </c>
      <c r="E133" s="9">
        <v>-827404.7028287463</v>
      </c>
      <c r="F133" s="9">
        <v>-1679988.83160163</v>
      </c>
      <c r="G133" s="9">
        <v>1805193.0</v>
      </c>
    </row>
    <row r="134" ht="15.75" customHeight="1">
      <c r="A134" s="8" t="s">
        <v>594</v>
      </c>
      <c r="B134" s="8" t="s">
        <v>595</v>
      </c>
      <c r="C134" s="9">
        <v>1.081017435122265E7</v>
      </c>
      <c r="D134" s="9">
        <v>1.079718188012439E7</v>
      </c>
      <c r="E134" s="9">
        <v>1.07849218742164E7</v>
      </c>
      <c r="F134" s="9">
        <v>9948342.35139715</v>
      </c>
      <c r="G134" s="9">
        <v>7873528.0</v>
      </c>
    </row>
    <row r="135" ht="15.75" customHeight="1">
      <c r="A135" s="8" t="s">
        <v>596</v>
      </c>
      <c r="B135" s="8" t="s">
        <v>597</v>
      </c>
      <c r="C135" s="9">
        <v>1.137325014721301E7</v>
      </c>
      <c r="D135" s="9">
        <v>1.132050771207577E7</v>
      </c>
      <c r="E135" s="9">
        <v>9957517.171387654</v>
      </c>
      <c r="F135" s="9">
        <v>8268353.51979552</v>
      </c>
      <c r="G135" s="9">
        <v>9678721.0</v>
      </c>
    </row>
    <row r="136" ht="15.75" customHeight="1">
      <c r="C136" s="14"/>
      <c r="D136" s="14"/>
      <c r="E136" s="14"/>
      <c r="F136" s="14"/>
      <c r="G136" s="14"/>
    </row>
    <row r="137" ht="15.75" customHeight="1">
      <c r="C137" s="14"/>
      <c r="D137" s="14"/>
      <c r="E137" s="14"/>
      <c r="F137" s="14"/>
      <c r="G137" s="14"/>
    </row>
    <row r="138" ht="15.75" customHeight="1">
      <c r="C138" s="14"/>
      <c r="D138" s="14"/>
      <c r="E138" s="14"/>
      <c r="F138" s="14"/>
      <c r="G138" s="14"/>
    </row>
    <row r="139" ht="15.75" customHeight="1">
      <c r="C139" s="14"/>
      <c r="D139" s="14"/>
      <c r="E139" s="14"/>
      <c r="F139" s="14"/>
      <c r="G139" s="14"/>
    </row>
    <row r="140" ht="15.75" customHeight="1">
      <c r="C140" s="14"/>
      <c r="D140" s="14"/>
      <c r="E140" s="14"/>
      <c r="F140" s="14"/>
      <c r="G140" s="14"/>
    </row>
    <row r="141" ht="15.75" customHeight="1">
      <c r="C141" s="14"/>
      <c r="D141" s="14"/>
      <c r="E141" s="14"/>
      <c r="F141" s="14"/>
      <c r="G141" s="14"/>
    </row>
    <row r="142" ht="15.75" customHeight="1">
      <c r="C142" s="14"/>
      <c r="D142" s="14"/>
      <c r="E142" s="14"/>
      <c r="F142" s="14"/>
      <c r="G142" s="14"/>
    </row>
    <row r="143" ht="15.75" customHeight="1">
      <c r="C143" s="14"/>
      <c r="D143" s="14"/>
      <c r="E143" s="14"/>
      <c r="F143" s="14"/>
      <c r="G143" s="14"/>
    </row>
    <row r="144" ht="15.75" customHeight="1">
      <c r="C144" s="14"/>
      <c r="D144" s="14"/>
      <c r="E144" s="14"/>
      <c r="F144" s="14"/>
      <c r="G144" s="14"/>
    </row>
    <row r="145" ht="15.75" customHeight="1">
      <c r="C145" s="14"/>
      <c r="D145" s="14"/>
      <c r="E145" s="14"/>
      <c r="F145" s="14"/>
      <c r="G145" s="14"/>
    </row>
    <row r="146" ht="15.75" customHeight="1">
      <c r="C146" s="14"/>
      <c r="D146" s="14"/>
      <c r="E146" s="14"/>
      <c r="F146" s="14"/>
      <c r="G146" s="14"/>
    </row>
    <row r="147" ht="15.75" customHeight="1">
      <c r="C147" s="14"/>
      <c r="D147" s="14"/>
      <c r="E147" s="14"/>
      <c r="F147" s="14"/>
      <c r="G147" s="14"/>
    </row>
    <row r="148" ht="15.75" customHeight="1">
      <c r="C148" s="14"/>
      <c r="D148" s="14"/>
      <c r="E148" s="14"/>
      <c r="F148" s="14"/>
      <c r="G148" s="14"/>
    </row>
    <row r="149" ht="15.75" customHeight="1">
      <c r="C149" s="14"/>
      <c r="D149" s="14"/>
      <c r="E149" s="14"/>
      <c r="F149" s="14"/>
      <c r="G149" s="14"/>
    </row>
    <row r="150" ht="15.75" customHeight="1">
      <c r="C150" s="14"/>
      <c r="D150" s="14"/>
      <c r="E150" s="14"/>
      <c r="F150" s="14"/>
      <c r="G150" s="14"/>
    </row>
    <row r="151" ht="15.75" customHeight="1">
      <c r="C151" s="14"/>
      <c r="D151" s="14"/>
      <c r="E151" s="14"/>
      <c r="F151" s="14"/>
      <c r="G151" s="14"/>
    </row>
    <row r="152" ht="15.75" customHeight="1">
      <c r="C152" s="14"/>
      <c r="D152" s="14"/>
      <c r="E152" s="14"/>
      <c r="F152" s="14"/>
      <c r="G152" s="14"/>
    </row>
    <row r="153" ht="15.75" customHeight="1">
      <c r="C153" s="14"/>
      <c r="D153" s="14"/>
      <c r="E153" s="14"/>
      <c r="F153" s="14"/>
      <c r="G153" s="14"/>
    </row>
    <row r="154" ht="15.75" customHeight="1">
      <c r="C154" s="14"/>
      <c r="D154" s="14"/>
      <c r="E154" s="14"/>
      <c r="F154" s="14"/>
      <c r="G154" s="14"/>
    </row>
    <row r="155" ht="15.75" customHeight="1">
      <c r="C155" s="14"/>
      <c r="D155" s="14"/>
      <c r="E155" s="14"/>
      <c r="F155" s="14"/>
      <c r="G155" s="14"/>
    </row>
    <row r="156" ht="15.75" customHeight="1">
      <c r="C156" s="14"/>
      <c r="D156" s="14"/>
      <c r="E156" s="14"/>
      <c r="F156" s="14"/>
      <c r="G156" s="14"/>
    </row>
    <row r="157" ht="15.75" customHeight="1">
      <c r="C157" s="14"/>
      <c r="D157" s="14"/>
      <c r="E157" s="14"/>
      <c r="F157" s="14"/>
      <c r="G157" s="14"/>
    </row>
    <row r="158" ht="15.75" customHeight="1">
      <c r="C158" s="14"/>
      <c r="D158" s="14"/>
      <c r="E158" s="14"/>
      <c r="F158" s="14"/>
      <c r="G158" s="14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B1"/>
    <mergeCell ref="C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3.57"/>
    <col customWidth="1" min="2" max="2" width="14.0"/>
    <col customWidth="1" min="3" max="6" width="13.29"/>
    <col customWidth="1" min="8" max="8" width="27.0"/>
    <col customWidth="1" min="9" max="9" width="38.0"/>
  </cols>
  <sheetData>
    <row r="1">
      <c r="A1" s="15" t="s">
        <v>598</v>
      </c>
      <c r="B1" s="2" t="s">
        <v>1</v>
      </c>
      <c r="C1" s="3"/>
      <c r="D1" s="3"/>
      <c r="E1" s="3"/>
      <c r="F1" s="4"/>
    </row>
    <row r="2">
      <c r="A2" s="16"/>
      <c r="B2" s="17">
        <v>2020.0</v>
      </c>
      <c r="C2" s="17">
        <v>2021.0</v>
      </c>
      <c r="D2" s="17">
        <v>2022.0</v>
      </c>
      <c r="E2" s="17">
        <v>2023.0</v>
      </c>
      <c r="F2" s="17">
        <v>2024.0</v>
      </c>
    </row>
    <row r="3">
      <c r="A3" s="18" t="s">
        <v>599</v>
      </c>
      <c r="B3" s="19">
        <v>3.61068</v>
      </c>
      <c r="C3" s="20">
        <v>3.65979</v>
      </c>
      <c r="D3" s="20">
        <v>3.590901</v>
      </c>
      <c r="E3" s="20">
        <v>3.54767</v>
      </c>
      <c r="F3" s="20">
        <v>3.535321</v>
      </c>
      <c r="G3" s="21"/>
      <c r="H3" s="21"/>
    </row>
    <row r="4">
      <c r="A4" s="22" t="s">
        <v>600</v>
      </c>
      <c r="B4" s="23">
        <v>27.69561</v>
      </c>
      <c r="C4" s="23">
        <v>27.32397</v>
      </c>
      <c r="D4" s="23">
        <v>27.84816</v>
      </c>
      <c r="E4" s="23">
        <v>28.18752</v>
      </c>
      <c r="F4" s="23">
        <v>28.28597</v>
      </c>
      <c r="G4" s="21"/>
      <c r="H4" s="21"/>
    </row>
    <row r="5">
      <c r="A5" s="24" t="s">
        <v>601</v>
      </c>
      <c r="B5" s="25">
        <v>2.61068</v>
      </c>
      <c r="C5" s="25">
        <v>2.65979</v>
      </c>
      <c r="D5" s="25">
        <v>2.590901</v>
      </c>
      <c r="E5" s="25">
        <v>2.54767</v>
      </c>
      <c r="F5" s="25">
        <v>2.535321</v>
      </c>
      <c r="G5" s="21"/>
      <c r="H5" s="21"/>
    </row>
    <row r="6">
      <c r="A6" s="26" t="s">
        <v>602</v>
      </c>
      <c r="B6" s="27">
        <v>0.543616</v>
      </c>
      <c r="C6" s="27">
        <v>0.584101</v>
      </c>
      <c r="D6" s="27">
        <v>0.633286</v>
      </c>
      <c r="E6" s="27">
        <v>0.6642</v>
      </c>
      <c r="F6" s="27">
        <v>0.717045</v>
      </c>
      <c r="G6" s="21"/>
      <c r="H6" s="21"/>
    </row>
    <row r="7">
      <c r="A7" s="26" t="s">
        <v>603</v>
      </c>
      <c r="B7" s="27">
        <v>1.406442</v>
      </c>
      <c r="C7" s="27">
        <v>1.429181</v>
      </c>
      <c r="D7" s="27">
        <v>1.406706</v>
      </c>
      <c r="E7" s="27">
        <v>1.387775</v>
      </c>
      <c r="F7" s="27">
        <v>1.37313</v>
      </c>
      <c r="G7" s="21"/>
      <c r="H7" s="21"/>
    </row>
    <row r="8">
      <c r="A8" s="26" t="s">
        <v>604</v>
      </c>
      <c r="B8" s="27">
        <v>0.506399</v>
      </c>
      <c r="C8" s="27">
        <v>0.541301</v>
      </c>
      <c r="D8" s="27">
        <v>0.573745</v>
      </c>
      <c r="E8" s="27">
        <v>0.592656</v>
      </c>
      <c r="F8" s="27">
        <v>0.61995</v>
      </c>
      <c r="G8" s="21"/>
      <c r="H8" s="21"/>
    </row>
    <row r="9">
      <c r="A9" s="26" t="s">
        <v>605</v>
      </c>
      <c r="B9" s="27">
        <v>1.70785</v>
      </c>
      <c r="C9" s="27">
        <v>2.214638</v>
      </c>
      <c r="D9" s="27">
        <v>2.517534</v>
      </c>
      <c r="E9" s="27">
        <v>2.912558</v>
      </c>
      <c r="F9" s="27">
        <v>2.796014</v>
      </c>
      <c r="G9" s="21"/>
      <c r="H9" s="21"/>
    </row>
    <row r="10">
      <c r="A10" s="26" t="s">
        <v>606</v>
      </c>
      <c r="B10" s="28">
        <v>72.30439</v>
      </c>
      <c r="C10" s="27">
        <v>72.67603</v>
      </c>
      <c r="D10" s="27">
        <v>72.15184</v>
      </c>
      <c r="E10" s="27">
        <v>71.81248</v>
      </c>
      <c r="F10" s="27">
        <v>71.71403</v>
      </c>
      <c r="G10" s="21"/>
      <c r="H10" s="21"/>
    </row>
    <row r="11">
      <c r="A11" s="26" t="s">
        <v>607</v>
      </c>
      <c r="B11" s="28">
        <v>49.22448</v>
      </c>
      <c r="C11" s="27">
        <v>44.81874</v>
      </c>
      <c r="D11" s="27">
        <v>40.42985</v>
      </c>
      <c r="E11" s="27">
        <v>37.81697</v>
      </c>
      <c r="F11" s="27">
        <v>34.36478</v>
      </c>
      <c r="G11" s="21"/>
      <c r="H11" s="21"/>
    </row>
    <row r="12">
      <c r="A12" s="26" t="s">
        <v>608</v>
      </c>
      <c r="B12" s="27">
        <v>41.81498</v>
      </c>
      <c r="C12" s="27">
        <v>42.13862</v>
      </c>
      <c r="D12" s="27">
        <v>43.23951</v>
      </c>
      <c r="E12" s="27">
        <v>43.84018</v>
      </c>
      <c r="F12" s="27">
        <v>44.92343</v>
      </c>
      <c r="G12" s="21"/>
      <c r="H12" s="21"/>
    </row>
    <row r="13">
      <c r="A13" s="26" t="s">
        <v>609</v>
      </c>
      <c r="B13" s="20">
        <v>-8.55867</v>
      </c>
      <c r="C13" s="20">
        <v>4.652544</v>
      </c>
      <c r="D13" s="20">
        <v>-2.36937</v>
      </c>
      <c r="E13" s="20">
        <v>5.831401</v>
      </c>
      <c r="F13" s="20">
        <v>10.64844</v>
      </c>
      <c r="G13" s="21"/>
    </row>
    <row r="14">
      <c r="A14" s="29" t="s">
        <v>610</v>
      </c>
      <c r="B14" s="30">
        <v>-18.3091</v>
      </c>
      <c r="C14" s="30">
        <v>-1.18051</v>
      </c>
      <c r="D14" s="30">
        <v>-4.46596</v>
      </c>
      <c r="E14" s="30">
        <v>3.003981</v>
      </c>
      <c r="F14" s="30">
        <v>5.430842</v>
      </c>
      <c r="G14" s="21"/>
    </row>
    <row r="15">
      <c r="A15" s="29" t="s">
        <v>611</v>
      </c>
      <c r="B15" s="30">
        <v>-2.80338</v>
      </c>
      <c r="C15" s="30">
        <v>1.773399</v>
      </c>
      <c r="D15" s="30">
        <v>-1.00825</v>
      </c>
      <c r="E15" s="30">
        <v>2.927808</v>
      </c>
      <c r="F15" s="30">
        <v>5.151783</v>
      </c>
      <c r="G15" s="21"/>
    </row>
    <row r="16">
      <c r="A16" s="29" t="s">
        <v>612</v>
      </c>
      <c r="B16" s="30">
        <v>-21.6537</v>
      </c>
      <c r="C16" s="30">
        <v>-1.6468</v>
      </c>
      <c r="D16" s="30">
        <v>-6.82422</v>
      </c>
      <c r="E16" s="30">
        <v>5.350693</v>
      </c>
      <c r="F16" s="30">
        <v>9.288975</v>
      </c>
      <c r="G16" s="21"/>
    </row>
    <row r="17">
      <c r="A17" s="29" t="s">
        <v>613</v>
      </c>
      <c r="B17" s="31"/>
      <c r="C17" s="30">
        <v>-16.6734</v>
      </c>
      <c r="D17" s="30">
        <v>103.0703</v>
      </c>
      <c r="E17" s="30">
        <v>-33.2305</v>
      </c>
      <c r="F17" s="30">
        <v>4.655799</v>
      </c>
      <c r="G17" s="21"/>
    </row>
    <row r="18">
      <c r="A18" s="29" t="s">
        <v>614</v>
      </c>
      <c r="B18" s="31"/>
      <c r="C18" s="30">
        <v>0.582437</v>
      </c>
      <c r="D18" s="30">
        <v>-1.81641</v>
      </c>
      <c r="E18" s="30">
        <v>0.467709</v>
      </c>
      <c r="F18" s="30">
        <v>0.982729</v>
      </c>
      <c r="G18" s="21"/>
    </row>
    <row r="19">
      <c r="A19" s="29" t="s">
        <v>615</v>
      </c>
      <c r="B19" s="31"/>
      <c r="C19" s="30">
        <v>-9.71122</v>
      </c>
      <c r="D19" s="30">
        <v>-187.217</v>
      </c>
      <c r="E19" s="30">
        <v>-15.5422</v>
      </c>
      <c r="F19" s="30">
        <v>4.575386</v>
      </c>
      <c r="G19" s="21"/>
    </row>
    <row r="20">
      <c r="A20" s="29" t="s">
        <v>616</v>
      </c>
      <c r="B20" s="31"/>
      <c r="C20" s="30">
        <v>9.569885</v>
      </c>
      <c r="D20" s="30">
        <v>-1.45711</v>
      </c>
      <c r="E20" s="30">
        <v>11.24873</v>
      </c>
      <c r="F20" s="30">
        <v>29.1917</v>
      </c>
      <c r="G20" s="21"/>
    </row>
    <row r="21">
      <c r="A21" s="29" t="s">
        <v>617</v>
      </c>
      <c r="B21" s="31"/>
      <c r="C21" s="30">
        <v>-159.563</v>
      </c>
      <c r="D21" s="30">
        <v>-150.184</v>
      </c>
      <c r="E21" s="30">
        <v>-373.801</v>
      </c>
      <c r="F21" s="30">
        <v>135.9107</v>
      </c>
      <c r="G21" s="21"/>
    </row>
    <row r="22">
      <c r="A22" s="29" t="s">
        <v>618</v>
      </c>
      <c r="B22" s="31"/>
      <c r="C22" s="30">
        <v>-92.9353</v>
      </c>
      <c r="D22" s="30">
        <v>272.7956</v>
      </c>
      <c r="E22" s="30">
        <v>-174.83</v>
      </c>
      <c r="F22" s="30">
        <v>133.5633</v>
      </c>
      <c r="G22" s="21"/>
    </row>
    <row r="25">
      <c r="A25" s="15" t="s">
        <v>619</v>
      </c>
      <c r="B25" s="2" t="s">
        <v>620</v>
      </c>
      <c r="C25" s="3"/>
      <c r="D25" s="3"/>
      <c r="E25" s="3"/>
      <c r="F25" s="4"/>
    </row>
    <row r="26">
      <c r="A26" s="16"/>
      <c r="B26" s="32">
        <v>2020.0</v>
      </c>
      <c r="C26" s="32">
        <v>2021.0</v>
      </c>
      <c r="D26" s="32">
        <v>2022.0</v>
      </c>
      <c r="E26" s="32">
        <v>2023.0</v>
      </c>
      <c r="F26" s="32">
        <v>2024.0</v>
      </c>
      <c r="H26" s="33" t="s">
        <v>621</v>
      </c>
      <c r="I26" s="33" t="s">
        <v>622</v>
      </c>
    </row>
    <row r="27">
      <c r="A27" s="26" t="s">
        <v>623</v>
      </c>
      <c r="B27" s="34">
        <v>0.844316</v>
      </c>
      <c r="C27" s="34">
        <v>0.838641</v>
      </c>
      <c r="D27" s="34">
        <v>0.843025</v>
      </c>
      <c r="E27" s="34">
        <v>0.847792</v>
      </c>
      <c r="F27" s="34">
        <v>0.852827</v>
      </c>
      <c r="H27" s="35" t="s">
        <v>624</v>
      </c>
      <c r="I27" s="36" t="s">
        <v>625</v>
      </c>
    </row>
    <row r="28">
      <c r="A28" s="16" t="s">
        <v>626</v>
      </c>
      <c r="B28" s="37">
        <v>1.111957645262435</v>
      </c>
      <c r="C28" s="37">
        <v>0.9081767724752465</v>
      </c>
      <c r="D28" s="37">
        <v>0.7183916666626953</v>
      </c>
      <c r="E28" s="37">
        <v>0.586781461615432</v>
      </c>
      <c r="F28" s="37">
        <v>0.4987815123960874</v>
      </c>
      <c r="H28" s="35" t="s">
        <v>627</v>
      </c>
      <c r="I28" s="36" t="s">
        <v>628</v>
      </c>
    </row>
    <row r="29">
      <c r="A29" s="16" t="s">
        <v>629</v>
      </c>
      <c r="B29" s="37">
        <v>1.501536</v>
      </c>
      <c r="C29" s="37">
        <v>1.363417</v>
      </c>
      <c r="D29" s="37">
        <v>1.046748</v>
      </c>
      <c r="E29" s="37">
        <v>0.919257</v>
      </c>
      <c r="F29" s="37">
        <v>0.796505</v>
      </c>
      <c r="H29" s="35" t="s">
        <v>630</v>
      </c>
      <c r="I29" s="36" t="s">
        <v>631</v>
      </c>
    </row>
    <row r="30">
      <c r="A30" s="16" t="s">
        <v>632</v>
      </c>
      <c r="B30" s="37">
        <v>2.521024850020576</v>
      </c>
      <c r="C30" s="37">
        <v>2.077064802136016</v>
      </c>
      <c r="D30" s="37">
        <v>1.789310541698855</v>
      </c>
      <c r="E30" s="37">
        <v>1.651977222909604</v>
      </c>
      <c r="F30" s="37">
        <v>1.474636428340116</v>
      </c>
      <c r="H30" s="35" t="s">
        <v>633</v>
      </c>
      <c r="I30" s="36" t="s">
        <v>634</v>
      </c>
    </row>
    <row r="31">
      <c r="A31" s="26" t="s">
        <v>635</v>
      </c>
      <c r="B31" s="38">
        <v>2.44651187641024E7</v>
      </c>
      <c r="C31" s="38">
        <v>1.968835408991013E7</v>
      </c>
      <c r="D31" s="38">
        <v>1.450253098141576E7</v>
      </c>
      <c r="E31" s="38">
        <v>1.21045737556E7</v>
      </c>
      <c r="F31" s="38">
        <v>1.297989E7</v>
      </c>
      <c r="H31" s="35" t="s">
        <v>636</v>
      </c>
      <c r="I31" s="36" t="s">
        <v>637</v>
      </c>
    </row>
    <row r="32">
      <c r="A32" s="26" t="s">
        <v>638</v>
      </c>
      <c r="B32" s="38">
        <v>1.352354933623094E7</v>
      </c>
      <c r="C32" s="38">
        <v>1.009671909209801E7</v>
      </c>
      <c r="D32" s="38">
        <v>9488128.311564919</v>
      </c>
      <c r="E32" s="38">
        <v>9113247.3296</v>
      </c>
      <c r="F32" s="38">
        <v>1.2935927E7</v>
      </c>
    </row>
    <row r="33">
      <c r="A33" s="26" t="s">
        <v>639</v>
      </c>
      <c r="B33" s="38">
        <v>1.788542498278651E7</v>
      </c>
      <c r="C33" s="38">
        <v>1.660114213858265E7</v>
      </c>
      <c r="D33" s="38">
        <v>1.319949101419908E7</v>
      </c>
      <c r="E33" s="38">
        <v>1.08941527878E7</v>
      </c>
      <c r="F33" s="38">
        <v>1.3640186E7</v>
      </c>
    </row>
    <row r="34">
      <c r="A34" s="16" t="s">
        <v>640</v>
      </c>
      <c r="B34" s="37">
        <v>30.75579268118297</v>
      </c>
      <c r="C34" s="37">
        <v>30.94586934502276</v>
      </c>
      <c r="D34" s="37">
        <v>31.56122220891258</v>
      </c>
      <c r="E34" s="37">
        <v>26.90435277662132</v>
      </c>
      <c r="F34" s="37">
        <v>24.00065355869354</v>
      </c>
    </row>
    <row r="35">
      <c r="A35" s="16" t="s">
        <v>641</v>
      </c>
      <c r="B35" s="37">
        <v>13.35157283143223</v>
      </c>
      <c r="C35" s="37">
        <v>12.77817679649838</v>
      </c>
      <c r="D35" s="37">
        <v>8.587854763529599</v>
      </c>
      <c r="E35" s="37">
        <v>8.615595893248475</v>
      </c>
      <c r="F35" s="37">
        <v>9.823379457873608</v>
      </c>
    </row>
    <row r="36">
      <c r="A36" s="16" t="s">
        <v>642</v>
      </c>
      <c r="B36" s="37">
        <v>3.459618192456814</v>
      </c>
      <c r="C36" s="37">
        <v>3.380050291302302</v>
      </c>
      <c r="D36" s="37">
        <v>4.408081074690701</v>
      </c>
      <c r="E36" s="37">
        <v>3.731848507211819</v>
      </c>
      <c r="F36" s="37">
        <v>5.112938741196758</v>
      </c>
    </row>
    <row r="37">
      <c r="A37" s="16" t="s">
        <v>643</v>
      </c>
      <c r="B37" s="37">
        <v>39.93297308156063</v>
      </c>
      <c r="C37" s="37">
        <v>33.79883168009869</v>
      </c>
      <c r="D37" s="37">
        <v>40.45755961590718</v>
      </c>
      <c r="E37" s="37">
        <v>43.53145019386096</v>
      </c>
      <c r="F37" s="37">
        <v>45.08438609200518</v>
      </c>
    </row>
    <row r="38">
      <c r="A38" s="16" t="s">
        <v>644</v>
      </c>
      <c r="B38" s="37">
        <v>0.0</v>
      </c>
      <c r="C38" s="37">
        <v>0.0</v>
      </c>
      <c r="D38" s="37">
        <v>0.0</v>
      </c>
      <c r="E38" s="37">
        <v>0.0</v>
      </c>
      <c r="F38" s="37">
        <v>0.0</v>
      </c>
    </row>
    <row r="39">
      <c r="A39" s="16" t="s">
        <v>645</v>
      </c>
      <c r="B39" s="37">
        <v>20.67958715825299</v>
      </c>
      <c r="C39" s="37">
        <v>18.02978935728435</v>
      </c>
      <c r="D39" s="37">
        <v>23.83794617943778</v>
      </c>
      <c r="E39" s="37">
        <v>22.49430113483673</v>
      </c>
      <c r="F39" s="37">
        <v>22.86013581884034</v>
      </c>
    </row>
    <row r="40">
      <c r="A40" s="16" t="s">
        <v>646</v>
      </c>
      <c r="B40" s="37">
        <v>4.636736754518001</v>
      </c>
      <c r="C40" s="37">
        <v>3.958369215151489</v>
      </c>
      <c r="D40" s="37">
        <v>4.800805921624826</v>
      </c>
      <c r="E40" s="37">
        <v>6.497768492720955</v>
      </c>
      <c r="F40" s="37">
        <v>3.859784921323774</v>
      </c>
    </row>
  </sheetData>
  <mergeCells count="2">
    <mergeCell ref="B1:F1"/>
    <mergeCell ref="B25:F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9" max="9" width="59.57"/>
  </cols>
  <sheetData>
    <row r="2">
      <c r="I2" s="39" t="s">
        <v>647</v>
      </c>
    </row>
    <row r="3">
      <c r="I3" s="40" t="s">
        <v>648</v>
      </c>
    </row>
    <row r="4">
      <c r="I4" s="41" t="s">
        <v>649</v>
      </c>
    </row>
    <row r="5">
      <c r="I5" s="41" t="s">
        <v>650</v>
      </c>
    </row>
    <row r="6">
      <c r="I6" s="41" t="s">
        <v>651</v>
      </c>
    </row>
    <row r="7">
      <c r="I7" s="41" t="s">
        <v>652</v>
      </c>
    </row>
    <row r="8">
      <c r="I8" s="41" t="s">
        <v>653</v>
      </c>
    </row>
    <row r="9">
      <c r="I9" s="40" t="s">
        <v>654</v>
      </c>
    </row>
    <row r="10">
      <c r="I10" s="41" t="s">
        <v>655</v>
      </c>
    </row>
    <row r="11">
      <c r="I11" s="41" t="s">
        <v>656</v>
      </c>
    </row>
    <row r="12">
      <c r="I12" s="41" t="s">
        <v>657</v>
      </c>
    </row>
    <row r="13">
      <c r="I13" s="41" t="s">
        <v>652</v>
      </c>
    </row>
    <row r="14">
      <c r="I14" s="41" t="s">
        <v>653</v>
      </c>
    </row>
    <row r="15">
      <c r="I15" s="40" t="s">
        <v>658</v>
      </c>
    </row>
    <row r="16">
      <c r="I16" s="41" t="s">
        <v>659</v>
      </c>
    </row>
    <row r="17">
      <c r="I17" s="41" t="s">
        <v>660</v>
      </c>
    </row>
    <row r="18">
      <c r="I18" s="41" t="s">
        <v>661</v>
      </c>
    </row>
    <row r="19">
      <c r="I19" s="41" t="s">
        <v>652</v>
      </c>
    </row>
    <row r="20">
      <c r="I20" s="41" t="s">
        <v>653</v>
      </c>
    </row>
    <row r="21">
      <c r="I21" s="40" t="s">
        <v>662</v>
      </c>
    </row>
    <row r="22">
      <c r="I22" s="41" t="s">
        <v>663</v>
      </c>
    </row>
    <row r="23">
      <c r="I23" s="41" t="s">
        <v>664</v>
      </c>
    </row>
    <row r="24">
      <c r="I24" s="41" t="s">
        <v>665</v>
      </c>
    </row>
    <row r="25">
      <c r="I25" s="41" t="s">
        <v>652</v>
      </c>
    </row>
    <row r="26">
      <c r="I26" s="41" t="s">
        <v>653</v>
      </c>
    </row>
    <row r="27">
      <c r="I27" s="40" t="s">
        <v>666</v>
      </c>
    </row>
    <row r="28">
      <c r="I28" s="41" t="s">
        <v>667</v>
      </c>
    </row>
    <row r="29">
      <c r="I29" s="41" t="s">
        <v>668</v>
      </c>
    </row>
    <row r="30">
      <c r="I30" s="41" t="s">
        <v>669</v>
      </c>
    </row>
    <row r="31">
      <c r="I31" s="41" t="s">
        <v>652</v>
      </c>
    </row>
    <row r="32">
      <c r="I32" s="41" t="s">
        <v>653</v>
      </c>
    </row>
  </sheetData>
  <hyperlinks>
    <hyperlink r:id="rId1" ref="I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2" max="6" width="11.71"/>
  </cols>
  <sheetData>
    <row r="1">
      <c r="A1" s="42" t="s">
        <v>670</v>
      </c>
      <c r="B1" s="43" t="s">
        <v>671</v>
      </c>
      <c r="C1" s="44"/>
      <c r="D1" s="44"/>
      <c r="E1" s="44"/>
      <c r="F1" s="45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7"/>
      <c r="B2" s="48">
        <v>2020.0</v>
      </c>
      <c r="C2" s="48">
        <v>2021.0</v>
      </c>
      <c r="D2" s="48">
        <v>2022.0</v>
      </c>
      <c r="E2" s="48">
        <v>2023.0</v>
      </c>
      <c r="F2" s="48">
        <v>2024.0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9" t="s">
        <v>672</v>
      </c>
      <c r="B3" s="50">
        <v>295.0753</v>
      </c>
      <c r="C3" s="50">
        <v>221.914</v>
      </c>
      <c r="D3" s="50">
        <v>246.4805</v>
      </c>
      <c r="E3" s="50">
        <v>214.7685</v>
      </c>
      <c r="F3" s="50">
        <v>228.5011</v>
      </c>
    </row>
    <row r="4">
      <c r="A4" s="49" t="s">
        <v>673</v>
      </c>
      <c r="B4" s="50">
        <v>22.43136</v>
      </c>
      <c r="C4" s="50">
        <v>18.72789</v>
      </c>
      <c r="D4" s="50">
        <v>21.4612</v>
      </c>
      <c r="E4" s="50">
        <v>15.23607</v>
      </c>
      <c r="F4" s="50">
        <v>21.24509</v>
      </c>
    </row>
    <row r="5">
      <c r="A5" s="49" t="s">
        <v>674</v>
      </c>
      <c r="B5" s="50">
        <v>39.20811</v>
      </c>
      <c r="C5" s="50">
        <v>67.78358</v>
      </c>
      <c r="D5" s="50">
        <v>79.28006</v>
      </c>
      <c r="E5" s="50">
        <v>67.03043</v>
      </c>
      <c r="F5" s="50">
        <v>67.36649</v>
      </c>
    </row>
    <row r="6">
      <c r="A6" s="49" t="s">
        <v>675</v>
      </c>
      <c r="B6" s="50">
        <v>317.5067</v>
      </c>
      <c r="C6" s="50">
        <v>240.6419</v>
      </c>
      <c r="D6" s="50">
        <v>267.9417</v>
      </c>
      <c r="E6" s="50">
        <v>230.0045</v>
      </c>
      <c r="F6" s="50">
        <v>249.7462</v>
      </c>
    </row>
    <row r="7">
      <c r="A7" s="49" t="s">
        <v>676</v>
      </c>
      <c r="B7" s="50">
        <v>278.2986</v>
      </c>
      <c r="C7" s="50">
        <v>172.8583</v>
      </c>
      <c r="D7" s="50">
        <v>188.6616</v>
      </c>
      <c r="E7" s="50">
        <v>162.9741</v>
      </c>
      <c r="F7" s="50">
        <v>182.3797</v>
      </c>
    </row>
  </sheetData>
  <mergeCells count="1">
    <mergeCell ref="B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0.57"/>
    <col customWidth="1" min="2" max="2" width="16.29"/>
  </cols>
  <sheetData>
    <row r="1">
      <c r="A1" s="51" t="s">
        <v>677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>
      <c r="A2" s="53"/>
      <c r="B2" s="53">
        <v>2020.0</v>
      </c>
      <c r="C2" s="53" t="s">
        <v>678</v>
      </c>
      <c r="D2" s="53">
        <v>2021.0</v>
      </c>
      <c r="E2" s="53" t="s">
        <v>679</v>
      </c>
      <c r="F2" s="53" t="s">
        <v>680</v>
      </c>
      <c r="G2" s="53">
        <v>2022.0</v>
      </c>
      <c r="H2" s="53" t="s">
        <v>681</v>
      </c>
      <c r="I2" s="53" t="s">
        <v>682</v>
      </c>
      <c r="J2" s="53">
        <v>2023.0</v>
      </c>
      <c r="K2" s="53" t="s">
        <v>683</v>
      </c>
      <c r="L2" s="53" t="s">
        <v>684</v>
      </c>
      <c r="M2" s="53">
        <v>2024.0</v>
      </c>
      <c r="N2" s="53" t="s">
        <v>685</v>
      </c>
      <c r="O2" s="53" t="s">
        <v>686</v>
      </c>
    </row>
    <row r="3">
      <c r="A3" s="54" t="s">
        <v>5</v>
      </c>
      <c r="B3" s="55">
        <v>6.9691047E7</v>
      </c>
      <c r="C3" s="56">
        <v>100.0</v>
      </c>
      <c r="D3" s="55">
        <v>6.5618881E7</v>
      </c>
      <c r="E3" s="56">
        <v>100.0</v>
      </c>
      <c r="F3" s="56">
        <v>-5.84</v>
      </c>
      <c r="G3" s="55">
        <v>5.7920929E7</v>
      </c>
      <c r="H3" s="56">
        <v>100.0</v>
      </c>
      <c r="I3" s="56">
        <v>-11.73</v>
      </c>
      <c r="J3" s="55">
        <v>5.4612925E7</v>
      </c>
      <c r="K3" s="56">
        <v>100.0</v>
      </c>
      <c r="L3" s="56">
        <v>-5.71</v>
      </c>
      <c r="M3" s="55">
        <v>7.3219718E7</v>
      </c>
      <c r="N3" s="56">
        <v>100.0</v>
      </c>
      <c r="O3" s="56">
        <v>34.07</v>
      </c>
    </row>
    <row r="4">
      <c r="A4" s="57" t="s">
        <v>7</v>
      </c>
      <c r="B4" s="58">
        <v>4.0549747E7</v>
      </c>
      <c r="C4" s="59">
        <v>58.19</v>
      </c>
      <c r="D4" s="58">
        <v>3.7967992E7</v>
      </c>
      <c r="E4" s="59">
        <v>57.86</v>
      </c>
      <c r="F4" s="59">
        <v>-6.37</v>
      </c>
      <c r="G4" s="58">
        <v>3.28762E7</v>
      </c>
      <c r="H4" s="59">
        <v>56.76</v>
      </c>
      <c r="I4" s="59">
        <v>-13.41</v>
      </c>
      <c r="J4" s="58">
        <v>3.067052E7</v>
      </c>
      <c r="K4" s="59">
        <v>56.16</v>
      </c>
      <c r="L4" s="59">
        <v>-6.71</v>
      </c>
      <c r="M4" s="58">
        <v>4.0326906E7</v>
      </c>
      <c r="N4" s="59">
        <v>55.08</v>
      </c>
      <c r="O4" s="59">
        <v>31.48</v>
      </c>
    </row>
    <row r="5">
      <c r="A5" s="57" t="s">
        <v>9</v>
      </c>
      <c r="B5" s="58">
        <v>1.2471396E7</v>
      </c>
      <c r="C5" s="59">
        <v>17.9</v>
      </c>
      <c r="D5" s="58">
        <v>1.1749525E7</v>
      </c>
      <c r="E5" s="59">
        <v>17.91</v>
      </c>
      <c r="F5" s="59">
        <v>-5.79</v>
      </c>
      <c r="G5" s="58">
        <v>1.0376131E7</v>
      </c>
      <c r="H5" s="59">
        <v>17.91</v>
      </c>
      <c r="I5" s="59">
        <v>-11.69</v>
      </c>
      <c r="J5" s="58">
        <v>8251705.0</v>
      </c>
      <c r="K5" s="59">
        <v>15.11</v>
      </c>
      <c r="L5" s="59">
        <v>-20.47</v>
      </c>
      <c r="M5" s="58">
        <v>9678721.0</v>
      </c>
      <c r="N5" s="59">
        <v>13.22</v>
      </c>
      <c r="O5" s="59">
        <v>17.29</v>
      </c>
    </row>
    <row r="6">
      <c r="A6" s="57" t="s">
        <v>11</v>
      </c>
      <c r="B6" s="58">
        <v>5414029.0</v>
      </c>
      <c r="C6" s="59">
        <v>7.77</v>
      </c>
      <c r="D6" s="58">
        <v>4851617.0</v>
      </c>
      <c r="E6" s="59">
        <v>7.39</v>
      </c>
      <c r="F6" s="59">
        <v>-10.39</v>
      </c>
      <c r="G6" s="58">
        <v>2823360.0</v>
      </c>
      <c r="H6" s="59">
        <v>4.87</v>
      </c>
      <c r="I6" s="59">
        <v>-41.81</v>
      </c>
      <c r="J6" s="58">
        <v>2642448.0</v>
      </c>
      <c r="K6" s="59">
        <v>4.84</v>
      </c>
      <c r="L6" s="59">
        <v>-6.41</v>
      </c>
      <c r="M6" s="58">
        <v>3961465.0</v>
      </c>
      <c r="N6" s="59">
        <v>5.41</v>
      </c>
      <c r="O6" s="59">
        <v>49.92</v>
      </c>
    </row>
    <row r="7">
      <c r="A7" s="57" t="s">
        <v>23</v>
      </c>
      <c r="B7" s="58">
        <v>1402866.0</v>
      </c>
      <c r="C7" s="59">
        <v>2.01</v>
      </c>
      <c r="D7" s="58">
        <v>1283337.0</v>
      </c>
      <c r="E7" s="59">
        <v>1.96</v>
      </c>
      <c r="F7" s="59">
        <v>-8.52</v>
      </c>
      <c r="G7" s="58">
        <v>1449210.0</v>
      </c>
      <c r="H7" s="59">
        <v>2.5</v>
      </c>
      <c r="I7" s="59">
        <v>12.93</v>
      </c>
      <c r="J7" s="58">
        <v>1144577.0</v>
      </c>
      <c r="K7" s="59">
        <v>2.1</v>
      </c>
      <c r="L7" s="59">
        <v>-21.02</v>
      </c>
      <c r="M7" s="58">
        <v>2061890.0</v>
      </c>
      <c r="N7" s="59">
        <v>2.82</v>
      </c>
      <c r="O7" s="59">
        <v>80.14</v>
      </c>
    </row>
    <row r="8">
      <c r="A8" s="57" t="s">
        <v>35</v>
      </c>
      <c r="B8" s="58">
        <v>1.6192719E7</v>
      </c>
      <c r="C8" s="59">
        <v>23.24</v>
      </c>
      <c r="D8" s="58">
        <v>1.2832738E7</v>
      </c>
      <c r="E8" s="59">
        <v>19.56</v>
      </c>
      <c r="F8" s="59">
        <v>-20.75</v>
      </c>
      <c r="G8" s="58">
        <v>1.3300908E7</v>
      </c>
      <c r="H8" s="59">
        <v>22.96</v>
      </c>
      <c r="I8" s="59">
        <v>3.65</v>
      </c>
      <c r="J8" s="58">
        <v>1.3351322E7</v>
      </c>
      <c r="K8" s="59">
        <v>24.45</v>
      </c>
      <c r="L8" s="59">
        <v>0.38</v>
      </c>
      <c r="M8" s="58">
        <v>1.8181138E7</v>
      </c>
      <c r="N8" s="59">
        <v>24.83</v>
      </c>
      <c r="O8" s="59">
        <v>36.17</v>
      </c>
    </row>
    <row r="9">
      <c r="A9" s="57"/>
      <c r="B9" s="58"/>
      <c r="C9" s="59"/>
      <c r="D9" s="58"/>
      <c r="E9" s="59"/>
      <c r="F9" s="59"/>
      <c r="G9" s="58"/>
      <c r="H9" s="59"/>
      <c r="I9" s="59"/>
      <c r="J9" s="58"/>
      <c r="K9" s="59"/>
      <c r="L9" s="59"/>
      <c r="M9" s="58"/>
      <c r="N9" s="59"/>
      <c r="O9" s="59"/>
    </row>
    <row r="10">
      <c r="A10" s="54" t="s">
        <v>63</v>
      </c>
      <c r="B10" s="55">
        <v>2.9141301E7</v>
      </c>
      <c r="C10" s="56">
        <v>41.81</v>
      </c>
      <c r="D10" s="55">
        <v>2.7650889E7</v>
      </c>
      <c r="E10" s="56">
        <v>42.14</v>
      </c>
      <c r="F10" s="56">
        <v>-5.11</v>
      </c>
      <c r="G10" s="55">
        <v>2.5044729E7</v>
      </c>
      <c r="H10" s="56">
        <v>43.24</v>
      </c>
      <c r="I10" s="56">
        <v>-9.43</v>
      </c>
      <c r="J10" s="55">
        <v>2.3942405E7</v>
      </c>
      <c r="K10" s="56">
        <v>43.84</v>
      </c>
      <c r="L10" s="56">
        <v>-4.4</v>
      </c>
      <c r="M10" s="55">
        <v>3.2892812E7</v>
      </c>
      <c r="N10" s="56">
        <v>44.92</v>
      </c>
      <c r="O10" s="56">
        <v>37.38</v>
      </c>
    </row>
    <row r="11">
      <c r="A11" s="57" t="s">
        <v>65</v>
      </c>
      <c r="B11" s="58">
        <v>1995054.0</v>
      </c>
      <c r="C11" s="59">
        <v>2.86</v>
      </c>
      <c r="D11" s="58">
        <v>2026121.0</v>
      </c>
      <c r="E11" s="59">
        <v>3.09</v>
      </c>
      <c r="F11" s="59">
        <v>1.56</v>
      </c>
      <c r="G11" s="58">
        <v>2354679.0</v>
      </c>
      <c r="H11" s="59">
        <v>4.07</v>
      </c>
      <c r="I11" s="59">
        <v>16.22</v>
      </c>
      <c r="J11" s="58">
        <v>2578961.0</v>
      </c>
      <c r="K11" s="59">
        <v>4.72</v>
      </c>
      <c r="L11" s="59">
        <v>9.52</v>
      </c>
      <c r="M11" s="58">
        <v>4454043.0</v>
      </c>
      <c r="N11" s="59">
        <v>6.08</v>
      </c>
      <c r="O11" s="59">
        <v>72.71</v>
      </c>
    </row>
    <row r="12">
      <c r="A12" s="57" t="s">
        <v>101</v>
      </c>
      <c r="B12" s="58">
        <v>34304.12</v>
      </c>
      <c r="C12" s="59">
        <v>0.05</v>
      </c>
      <c r="D12" s="58">
        <v>28543.59</v>
      </c>
      <c r="E12" s="59">
        <v>0.04</v>
      </c>
      <c r="F12" s="59">
        <v>-16.79</v>
      </c>
      <c r="G12" s="58">
        <v>70264.73</v>
      </c>
      <c r="H12" s="59">
        <v>0.12</v>
      </c>
      <c r="I12" s="59">
        <v>146.17</v>
      </c>
      <c r="J12" s="58">
        <v>142743.5</v>
      </c>
      <c r="K12" s="59">
        <v>0.26</v>
      </c>
      <c r="L12" s="59">
        <v>103.15</v>
      </c>
      <c r="M12" s="58">
        <v>270608.0</v>
      </c>
      <c r="N12" s="59">
        <v>0.37</v>
      </c>
      <c r="O12" s="59">
        <v>89.58</v>
      </c>
    </row>
    <row r="13">
      <c r="A13" s="57" t="s">
        <v>113</v>
      </c>
      <c r="B13" s="58">
        <v>1.3366071E7</v>
      </c>
      <c r="C13" s="59">
        <v>19.18</v>
      </c>
      <c r="D13" s="58">
        <v>1.1293849E7</v>
      </c>
      <c r="E13" s="59">
        <v>17.21</v>
      </c>
      <c r="F13" s="59">
        <v>-15.5</v>
      </c>
      <c r="G13" s="58">
        <v>9790271.0</v>
      </c>
      <c r="H13" s="59">
        <v>16.9</v>
      </c>
      <c r="I13" s="59">
        <v>-13.31</v>
      </c>
      <c r="J13" s="58">
        <v>9414354.0</v>
      </c>
      <c r="K13" s="59">
        <v>17.24</v>
      </c>
      <c r="L13" s="59">
        <v>-3.84</v>
      </c>
      <c r="M13" s="58">
        <v>1.2669526E7</v>
      </c>
      <c r="N13" s="59">
        <v>17.3</v>
      </c>
      <c r="O13" s="59">
        <v>34.58</v>
      </c>
    </row>
    <row r="14">
      <c r="A14" s="57" t="s">
        <v>121</v>
      </c>
      <c r="B14" s="58">
        <v>1.3745871E7</v>
      </c>
      <c r="C14" s="59">
        <v>19.72</v>
      </c>
      <c r="D14" s="58">
        <v>1.4302375E7</v>
      </c>
      <c r="E14" s="59">
        <v>21.8</v>
      </c>
      <c r="F14" s="59">
        <v>4.05</v>
      </c>
      <c r="G14" s="58">
        <v>1.2829514E7</v>
      </c>
      <c r="H14" s="59">
        <v>22.15</v>
      </c>
      <c r="I14" s="59">
        <v>-10.3</v>
      </c>
      <c r="J14" s="58">
        <v>1.1806346E7</v>
      </c>
      <c r="K14" s="59">
        <v>21.62</v>
      </c>
      <c r="L14" s="59">
        <v>-7.98</v>
      </c>
      <c r="M14" s="58">
        <v>1.5498635E7</v>
      </c>
      <c r="N14" s="59">
        <v>21.17</v>
      </c>
      <c r="O14" s="59">
        <v>31.27</v>
      </c>
    </row>
    <row r="15">
      <c r="A15" s="57"/>
      <c r="B15" s="58"/>
      <c r="C15" s="59"/>
      <c r="D15" s="58"/>
      <c r="E15" s="59"/>
      <c r="F15" s="59"/>
      <c r="G15" s="58"/>
      <c r="H15" s="59"/>
      <c r="I15" s="59"/>
      <c r="J15" s="58"/>
      <c r="K15" s="59"/>
      <c r="L15" s="59"/>
      <c r="M15" s="58"/>
      <c r="N15" s="59"/>
      <c r="O15" s="59"/>
    </row>
    <row r="16">
      <c r="A16" s="54" t="s">
        <v>129</v>
      </c>
      <c r="B16" s="55">
        <v>6.9691047E7</v>
      </c>
      <c r="C16" s="56">
        <v>100.0</v>
      </c>
      <c r="D16" s="55">
        <v>6.5618881E7</v>
      </c>
      <c r="E16" s="56">
        <v>100.0</v>
      </c>
      <c r="F16" s="56">
        <v>-5.84</v>
      </c>
      <c r="G16" s="55">
        <v>5.7920929E7</v>
      </c>
      <c r="H16" s="56">
        <v>100.0</v>
      </c>
      <c r="I16" s="56">
        <v>-11.73</v>
      </c>
      <c r="J16" s="55">
        <v>5.4612925E7</v>
      </c>
      <c r="K16" s="56">
        <v>100.0</v>
      </c>
      <c r="L16" s="56">
        <v>-5.71</v>
      </c>
      <c r="M16" s="55">
        <v>7.3219718E7</v>
      </c>
      <c r="N16" s="56">
        <v>100.0</v>
      </c>
      <c r="O16" s="56">
        <v>34.07</v>
      </c>
    </row>
    <row r="17">
      <c r="A17" s="57" t="s">
        <v>131</v>
      </c>
      <c r="B17" s="58">
        <v>1.6084628E7</v>
      </c>
      <c r="C17" s="59">
        <v>23.08</v>
      </c>
      <c r="D17" s="58">
        <v>1.8279637E7</v>
      </c>
      <c r="E17" s="59">
        <v>27.86</v>
      </c>
      <c r="F17" s="59">
        <v>13.65</v>
      </c>
      <c r="G17" s="58">
        <v>1.8373669E7</v>
      </c>
      <c r="H17" s="59">
        <v>31.72</v>
      </c>
      <c r="I17" s="59">
        <v>0.51</v>
      </c>
      <c r="J17" s="58">
        <v>1.8565946E7</v>
      </c>
      <c r="K17" s="59">
        <v>34.0</v>
      </c>
      <c r="L17" s="59">
        <v>1.05</v>
      </c>
      <c r="M17" s="58">
        <v>2.7347016E7</v>
      </c>
      <c r="N17" s="59">
        <v>37.35</v>
      </c>
      <c r="O17" s="59">
        <v>47.3</v>
      </c>
    </row>
    <row r="18">
      <c r="A18" s="57" t="s">
        <v>139</v>
      </c>
      <c r="B18" s="58">
        <v>3326235.0</v>
      </c>
      <c r="C18" s="59">
        <v>4.77</v>
      </c>
      <c r="D18" s="58">
        <v>3295780.0</v>
      </c>
      <c r="E18" s="59">
        <v>5.02</v>
      </c>
      <c r="F18" s="59">
        <v>-0.92</v>
      </c>
      <c r="G18" s="58">
        <v>4379905.0</v>
      </c>
      <c r="H18" s="59">
        <v>7.56</v>
      </c>
      <c r="I18" s="59">
        <v>32.89</v>
      </c>
      <c r="J18" s="58">
        <v>4176280.0</v>
      </c>
      <c r="K18" s="59">
        <v>7.65</v>
      </c>
      <c r="L18" s="59">
        <v>-4.65</v>
      </c>
      <c r="M18" s="58">
        <v>6251565.0</v>
      </c>
      <c r="N18" s="59">
        <v>8.54</v>
      </c>
      <c r="O18" s="59">
        <v>49.69</v>
      </c>
    </row>
    <row r="19">
      <c r="A19" s="57" t="s">
        <v>151</v>
      </c>
      <c r="B19" s="58">
        <v>745801.9</v>
      </c>
      <c r="C19" s="59">
        <v>1.07</v>
      </c>
      <c r="D19" s="58">
        <v>723575.5</v>
      </c>
      <c r="E19" s="59">
        <v>1.1</v>
      </c>
      <c r="F19" s="59">
        <v>-2.98</v>
      </c>
      <c r="G19" s="58">
        <v>882084.2</v>
      </c>
      <c r="H19" s="59">
        <v>1.52</v>
      </c>
      <c r="I19" s="59">
        <v>21.91</v>
      </c>
      <c r="J19" s="58">
        <v>1206372.0</v>
      </c>
      <c r="K19" s="59">
        <v>2.21</v>
      </c>
      <c r="L19" s="59">
        <v>36.76</v>
      </c>
      <c r="M19" s="58">
        <v>1055536.0</v>
      </c>
      <c r="N19" s="59">
        <v>1.44</v>
      </c>
      <c r="O19" s="59">
        <v>-12.5</v>
      </c>
    </row>
    <row r="20">
      <c r="A20" s="57"/>
      <c r="B20" s="58"/>
      <c r="C20" s="59"/>
      <c r="D20" s="58"/>
      <c r="E20" s="59"/>
      <c r="F20" s="59"/>
      <c r="G20" s="58"/>
      <c r="H20" s="59"/>
      <c r="I20" s="59"/>
      <c r="J20" s="58"/>
      <c r="K20" s="59"/>
      <c r="L20" s="59"/>
      <c r="M20" s="58"/>
      <c r="N20" s="59"/>
      <c r="O20" s="59"/>
    </row>
    <row r="21">
      <c r="A21" s="54" t="s">
        <v>239</v>
      </c>
      <c r="B21" s="58">
        <v>3.4305058E7</v>
      </c>
      <c r="C21" s="59">
        <v>49.22</v>
      </c>
      <c r="D21" s="58">
        <v>2.9409557E7</v>
      </c>
      <c r="E21" s="59">
        <v>44.82</v>
      </c>
      <c r="F21" s="59">
        <v>-14.27</v>
      </c>
      <c r="G21" s="58">
        <v>2.3417345E7</v>
      </c>
      <c r="H21" s="59">
        <v>40.43</v>
      </c>
      <c r="I21" s="59">
        <v>-20.38</v>
      </c>
      <c r="J21" s="58">
        <v>2.0652952E7</v>
      </c>
      <c r="K21" s="59">
        <v>37.82</v>
      </c>
      <c r="L21" s="59">
        <v>-11.8</v>
      </c>
      <c r="M21" s="58">
        <v>2.5161794E7</v>
      </c>
      <c r="N21" s="59">
        <v>34.36</v>
      </c>
      <c r="O21" s="59">
        <v>21.83</v>
      </c>
    </row>
    <row r="22">
      <c r="A22" s="57" t="s">
        <v>162</v>
      </c>
      <c r="B22" s="58">
        <v>2.6970499E7</v>
      </c>
      <c r="C22" s="59">
        <v>38.7</v>
      </c>
      <c r="D22" s="58">
        <v>2.231021E7</v>
      </c>
      <c r="E22" s="59">
        <v>34.0</v>
      </c>
      <c r="F22" s="59">
        <v>-17.28</v>
      </c>
      <c r="G22" s="58">
        <v>1.6531387E7</v>
      </c>
      <c r="H22" s="59">
        <v>28.54</v>
      </c>
      <c r="I22" s="59">
        <v>-25.9</v>
      </c>
      <c r="J22" s="58">
        <v>1.397555E7</v>
      </c>
      <c r="K22" s="59">
        <v>25.59</v>
      </c>
      <c r="L22" s="59">
        <v>-15.46</v>
      </c>
      <c r="M22" s="58">
        <v>1.4720995E7</v>
      </c>
      <c r="N22" s="59">
        <v>20.11</v>
      </c>
      <c r="O22" s="59">
        <v>5.33</v>
      </c>
    </row>
    <row r="23">
      <c r="A23" s="57"/>
      <c r="B23" s="58"/>
      <c r="C23" s="59"/>
      <c r="D23" s="58"/>
      <c r="E23" s="59"/>
      <c r="F23" s="59"/>
      <c r="G23" s="58"/>
      <c r="H23" s="59"/>
      <c r="I23" s="59"/>
      <c r="J23" s="58"/>
      <c r="K23" s="59"/>
      <c r="L23" s="59"/>
      <c r="M23" s="58"/>
      <c r="N23" s="59"/>
      <c r="O23" s="59"/>
    </row>
    <row r="24">
      <c r="A24" s="54" t="s">
        <v>299</v>
      </c>
      <c r="B24" s="55">
        <v>1.9301362E7</v>
      </c>
      <c r="C24" s="56">
        <v>27.7</v>
      </c>
      <c r="D24" s="55">
        <v>1.7929686E7</v>
      </c>
      <c r="E24" s="56">
        <v>27.32</v>
      </c>
      <c r="F24" s="56">
        <v>-7.11</v>
      </c>
      <c r="G24" s="55">
        <v>1.6129914E7</v>
      </c>
      <c r="H24" s="56">
        <v>27.85</v>
      </c>
      <c r="I24" s="56">
        <v>-10.04</v>
      </c>
      <c r="J24" s="55">
        <v>1.5394027E7</v>
      </c>
      <c r="K24" s="56">
        <v>28.19</v>
      </c>
      <c r="L24" s="56">
        <v>-4.56</v>
      </c>
      <c r="M24" s="55">
        <v>2.0710908E7</v>
      </c>
      <c r="N24" s="56">
        <v>28.29</v>
      </c>
      <c r="O24" s="56">
        <v>34.54</v>
      </c>
    </row>
    <row r="25">
      <c r="A25" s="57" t="s">
        <v>301</v>
      </c>
      <c r="B25" s="58">
        <v>6575383.0</v>
      </c>
      <c r="C25" s="59">
        <v>9.44</v>
      </c>
      <c r="D25" s="58">
        <v>5974362.0</v>
      </c>
      <c r="E25" s="59">
        <v>9.1</v>
      </c>
      <c r="F25" s="59">
        <v>-9.14</v>
      </c>
      <c r="G25" s="58">
        <v>5647379.0</v>
      </c>
      <c r="H25" s="59">
        <v>9.75</v>
      </c>
      <c r="I25" s="59">
        <v>-5.47</v>
      </c>
      <c r="J25" s="58">
        <v>5397991.0</v>
      </c>
      <c r="K25" s="59">
        <v>9.88</v>
      </c>
      <c r="L25" s="59">
        <v>-4.42</v>
      </c>
      <c r="M25" s="58">
        <v>5159617.0</v>
      </c>
      <c r="N25" s="59">
        <v>7.05</v>
      </c>
      <c r="O25" s="59">
        <v>-4.42</v>
      </c>
    </row>
    <row r="26">
      <c r="A26" s="57" t="s">
        <v>303</v>
      </c>
      <c r="B26" s="58">
        <v>6774.68</v>
      </c>
      <c r="C26" s="59">
        <v>0.01</v>
      </c>
      <c r="D26" s="58">
        <v>-9452.0</v>
      </c>
      <c r="E26" s="59">
        <v>-0.01</v>
      </c>
      <c r="F26" s="59">
        <v>-239.52</v>
      </c>
      <c r="G26" s="58">
        <v>422008.7</v>
      </c>
      <c r="H26" s="59">
        <v>0.73</v>
      </c>
      <c r="I26" s="59">
        <v>-4564.75</v>
      </c>
      <c r="J26" s="58">
        <v>496061.0</v>
      </c>
      <c r="K26" s="59">
        <v>0.91</v>
      </c>
      <c r="L26" s="59">
        <v>17.55</v>
      </c>
      <c r="M26" s="58">
        <v>750979.0</v>
      </c>
      <c r="N26" s="59">
        <v>1.03</v>
      </c>
      <c r="O26" s="59">
        <v>51.39</v>
      </c>
    </row>
    <row r="27">
      <c r="A27" s="57" t="s">
        <v>322</v>
      </c>
      <c r="B27" s="58">
        <v>0.0</v>
      </c>
      <c r="C27" s="59">
        <v>0.0</v>
      </c>
      <c r="D27" s="58">
        <v>0.0</v>
      </c>
      <c r="E27" s="59">
        <v>0.0</v>
      </c>
      <c r="F27" s="59">
        <v>0.0</v>
      </c>
      <c r="G27" s="58">
        <v>0.0</v>
      </c>
      <c r="H27" s="59">
        <v>0.0</v>
      </c>
      <c r="I27" s="59">
        <v>0.0</v>
      </c>
      <c r="J27" s="58">
        <v>0.0</v>
      </c>
      <c r="K27" s="59">
        <v>0.0</v>
      </c>
      <c r="L27" s="59">
        <v>0.0</v>
      </c>
      <c r="M27" s="58">
        <v>274354.0</v>
      </c>
      <c r="N27" s="59">
        <v>0.37</v>
      </c>
      <c r="O27" s="59">
        <v>0.0</v>
      </c>
    </row>
    <row r="28">
      <c r="A28" s="54" t="s">
        <v>348</v>
      </c>
      <c r="B28" s="55">
        <v>-1463195.0</v>
      </c>
      <c r="C28" s="56">
        <v>-2.1</v>
      </c>
      <c r="D28" s="55">
        <v>-1647667.0</v>
      </c>
      <c r="E28" s="56">
        <v>-2.51</v>
      </c>
      <c r="F28" s="56">
        <v>12.61</v>
      </c>
      <c r="G28" s="55">
        <v>-2601298.0</v>
      </c>
      <c r="H28" s="56">
        <v>-4.49</v>
      </c>
      <c r="I28" s="56">
        <v>57.88</v>
      </c>
      <c r="J28" s="55">
        <v>-1666666.0</v>
      </c>
      <c r="K28" s="56">
        <v>-3.05</v>
      </c>
      <c r="L28" s="56">
        <v>-35.93</v>
      </c>
      <c r="M28" s="55">
        <v>0.0</v>
      </c>
      <c r="N28" s="56">
        <v>0.0</v>
      </c>
      <c r="O28" s="56">
        <v>-100.0</v>
      </c>
    </row>
    <row r="29">
      <c r="A29" s="60"/>
      <c r="B29" s="61"/>
      <c r="C29" s="62"/>
      <c r="D29" s="61"/>
      <c r="E29" s="62"/>
      <c r="F29" s="62"/>
      <c r="G29" s="61"/>
      <c r="H29" s="62"/>
      <c r="I29" s="62"/>
      <c r="J29" s="61"/>
      <c r="K29" s="62"/>
      <c r="L29" s="62"/>
      <c r="M29" s="61"/>
      <c r="N29" s="62"/>
      <c r="O29" s="62"/>
    </row>
    <row r="30">
      <c r="A30" s="60"/>
      <c r="B30" s="60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</row>
    <row r="31">
      <c r="A31" s="63" t="s">
        <v>687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2"/>
    </row>
    <row r="32">
      <c r="A32" s="53"/>
      <c r="B32" s="53">
        <v>2020.0</v>
      </c>
      <c r="C32" s="53" t="s">
        <v>678</v>
      </c>
      <c r="D32" s="53">
        <v>2021.0</v>
      </c>
      <c r="E32" s="53" t="s">
        <v>679</v>
      </c>
      <c r="F32" s="53" t="s">
        <v>680</v>
      </c>
      <c r="G32" s="53">
        <v>2022.0</v>
      </c>
      <c r="H32" s="53" t="s">
        <v>681</v>
      </c>
      <c r="I32" s="53" t="s">
        <v>682</v>
      </c>
      <c r="J32" s="53">
        <v>2023.0</v>
      </c>
      <c r="K32" s="53" t="s">
        <v>683</v>
      </c>
      <c r="L32" s="53" t="s">
        <v>684</v>
      </c>
      <c r="M32" s="53">
        <v>2024.0</v>
      </c>
      <c r="N32" s="53" t="s">
        <v>685</v>
      </c>
      <c r="O32" s="53" t="s">
        <v>686</v>
      </c>
    </row>
    <row r="33">
      <c r="A33" s="54" t="s">
        <v>688</v>
      </c>
      <c r="B33" s="55">
        <v>2.2827249E7</v>
      </c>
      <c r="C33" s="56">
        <v>100.0</v>
      </c>
      <c r="D33" s="55">
        <v>2.501179E7</v>
      </c>
      <c r="E33" s="56">
        <v>100.0</v>
      </c>
      <c r="F33" s="56">
        <v>9.57</v>
      </c>
      <c r="G33" s="55">
        <v>2.4647342E7</v>
      </c>
      <c r="H33" s="56">
        <v>100.0</v>
      </c>
      <c r="I33" s="56">
        <v>-1.46</v>
      </c>
      <c r="J33" s="55">
        <v>2.7419854E7</v>
      </c>
      <c r="K33" s="56">
        <v>100.0</v>
      </c>
      <c r="L33" s="56">
        <v>11.25</v>
      </c>
      <c r="M33" s="55">
        <v>3.5424174E7</v>
      </c>
      <c r="N33" s="56">
        <v>100.0</v>
      </c>
      <c r="O33" s="56">
        <v>29.19</v>
      </c>
    </row>
    <row r="34">
      <c r="A34" s="57" t="s">
        <v>689</v>
      </c>
      <c r="B34" s="58">
        <v>-2.0E7</v>
      </c>
      <c r="C34" s="59">
        <v>-87.75</v>
      </c>
      <c r="D34" s="58">
        <v>-2.1E7</v>
      </c>
      <c r="E34" s="59">
        <v>-84.39</v>
      </c>
      <c r="F34" s="59">
        <v>5.38</v>
      </c>
      <c r="G34" s="58">
        <v>-2.0E7</v>
      </c>
      <c r="H34" s="59">
        <v>-79.91</v>
      </c>
      <c r="I34" s="59">
        <v>-6.68</v>
      </c>
      <c r="J34" s="58">
        <v>-2.3E7</v>
      </c>
      <c r="K34" s="59">
        <v>-82.75</v>
      </c>
      <c r="L34" s="59">
        <v>15.2</v>
      </c>
      <c r="M34" s="58">
        <v>-2.9E7</v>
      </c>
      <c r="N34" s="59">
        <v>-81.98</v>
      </c>
      <c r="O34" s="59">
        <v>27.99</v>
      </c>
    </row>
    <row r="35">
      <c r="A35" s="57" t="s">
        <v>690</v>
      </c>
      <c r="B35" s="58">
        <v>-4751013.0</v>
      </c>
      <c r="C35" s="59">
        <v>-20.81</v>
      </c>
      <c r="D35" s="58">
        <v>-2741056.0</v>
      </c>
      <c r="E35" s="59">
        <v>-10.96</v>
      </c>
      <c r="F35" s="59">
        <v>-42.31</v>
      </c>
      <c r="G35" s="58">
        <v>-5534712.0</v>
      </c>
      <c r="H35" s="59">
        <v>-22.46</v>
      </c>
      <c r="I35" s="59">
        <v>101.92</v>
      </c>
      <c r="J35" s="58">
        <v>-3130259.0</v>
      </c>
      <c r="K35" s="59">
        <v>-11.42</v>
      </c>
      <c r="L35" s="59">
        <v>-43.44</v>
      </c>
      <c r="M35" s="58">
        <v>-2610113.0</v>
      </c>
      <c r="N35" s="59">
        <v>-7.37</v>
      </c>
      <c r="O35" s="59">
        <v>-16.62</v>
      </c>
    </row>
    <row r="36">
      <c r="A36" s="57" t="s">
        <v>691</v>
      </c>
      <c r="B36" s="58">
        <v>-1165168.0</v>
      </c>
      <c r="C36" s="59">
        <v>-5.1</v>
      </c>
      <c r="D36" s="58">
        <v>-1349689.0</v>
      </c>
      <c r="E36" s="59">
        <v>-5.4</v>
      </c>
      <c r="F36" s="59">
        <v>15.84</v>
      </c>
      <c r="G36" s="58">
        <v>-1488430.0</v>
      </c>
      <c r="H36" s="59">
        <v>-6.04</v>
      </c>
      <c r="I36" s="59">
        <v>10.28</v>
      </c>
      <c r="J36" s="58">
        <v>-1648218.0</v>
      </c>
      <c r="K36" s="59">
        <v>-6.01</v>
      </c>
      <c r="L36" s="59">
        <v>10.74</v>
      </c>
      <c r="M36" s="58">
        <v>-1671416.0</v>
      </c>
      <c r="N36" s="59">
        <v>-4.72</v>
      </c>
      <c r="O36" s="59">
        <v>1.41</v>
      </c>
    </row>
    <row r="37">
      <c r="A37" s="57" t="s">
        <v>692</v>
      </c>
      <c r="B37" s="58">
        <v>-858544.0</v>
      </c>
      <c r="C37" s="59">
        <v>-3.76</v>
      </c>
      <c r="D37" s="58">
        <v>-912634.0</v>
      </c>
      <c r="E37" s="59">
        <v>-3.65</v>
      </c>
      <c r="F37" s="59">
        <v>6.3</v>
      </c>
      <c r="G37" s="58">
        <v>-1002967.0</v>
      </c>
      <c r="H37" s="59">
        <v>-4.07</v>
      </c>
      <c r="I37" s="59">
        <v>9.9</v>
      </c>
      <c r="J37" s="58">
        <v>-1073817.0</v>
      </c>
      <c r="K37" s="59">
        <v>-3.92</v>
      </c>
      <c r="L37" s="59">
        <v>7.06</v>
      </c>
      <c r="M37" s="58">
        <v>-1074842.0</v>
      </c>
      <c r="N37" s="59">
        <v>-3.03</v>
      </c>
      <c r="O37" s="59">
        <v>0.1</v>
      </c>
    </row>
    <row r="38">
      <c r="A38" s="57" t="s">
        <v>693</v>
      </c>
      <c r="B38" s="58">
        <v>581352.2</v>
      </c>
      <c r="C38" s="59">
        <v>2.55</v>
      </c>
      <c r="D38" s="58">
        <v>403624.1</v>
      </c>
      <c r="E38" s="59">
        <v>1.61</v>
      </c>
      <c r="F38" s="59">
        <v>-30.57</v>
      </c>
      <c r="G38" s="58">
        <v>646635.1</v>
      </c>
      <c r="H38" s="59">
        <v>2.62</v>
      </c>
      <c r="I38" s="59">
        <v>60.21</v>
      </c>
      <c r="J38" s="58">
        <v>782856.5</v>
      </c>
      <c r="K38" s="59">
        <v>2.86</v>
      </c>
      <c r="L38" s="59">
        <v>21.07</v>
      </c>
      <c r="M38" s="58">
        <v>1455864.0</v>
      </c>
      <c r="N38" s="59">
        <v>4.11</v>
      </c>
      <c r="O38" s="59">
        <v>85.97</v>
      </c>
    </row>
    <row r="39">
      <c r="A39" s="57" t="s">
        <v>694</v>
      </c>
      <c r="B39" s="58">
        <v>-2981845.0</v>
      </c>
      <c r="C39" s="59">
        <v>-13.06</v>
      </c>
      <c r="D39" s="58">
        <v>-966605.0</v>
      </c>
      <c r="E39" s="59">
        <v>-3.86</v>
      </c>
      <c r="F39" s="59">
        <v>-67.58</v>
      </c>
      <c r="G39" s="58">
        <v>-3644760.0</v>
      </c>
      <c r="H39" s="59">
        <v>-14.79</v>
      </c>
      <c r="I39" s="59">
        <v>277.07</v>
      </c>
      <c r="J39" s="58">
        <v>-1295024.0</v>
      </c>
      <c r="K39" s="59">
        <v>-4.72</v>
      </c>
      <c r="L39" s="59">
        <v>-64.47</v>
      </c>
      <c r="M39" s="58">
        <v>-1174508.0</v>
      </c>
      <c r="N39" s="59">
        <v>-3.32</v>
      </c>
      <c r="O39" s="59">
        <v>-9.31</v>
      </c>
    </row>
    <row r="40">
      <c r="A40" s="57" t="s">
        <v>695</v>
      </c>
      <c r="B40" s="58">
        <v>14770.13</v>
      </c>
      <c r="C40" s="59">
        <v>0.06</v>
      </c>
      <c r="D40" s="58">
        <v>6002.03</v>
      </c>
      <c r="E40" s="59">
        <v>0.02</v>
      </c>
      <c r="F40" s="59">
        <v>-59.36</v>
      </c>
      <c r="G40" s="58">
        <v>43890.33</v>
      </c>
      <c r="H40" s="59">
        <v>0.18</v>
      </c>
      <c r="I40" s="59">
        <v>631.26</v>
      </c>
      <c r="J40" s="58">
        <v>52487.34</v>
      </c>
      <c r="K40" s="59">
        <v>0.19</v>
      </c>
      <c r="L40" s="59">
        <v>19.59</v>
      </c>
      <c r="M40" s="58">
        <v>-23635.0</v>
      </c>
      <c r="N40" s="59">
        <v>-0.07</v>
      </c>
      <c r="O40" s="59">
        <v>-145.03</v>
      </c>
    </row>
    <row r="41">
      <c r="A41" s="54" t="s">
        <v>696</v>
      </c>
      <c r="B41" s="55">
        <v>-1895635.0</v>
      </c>
      <c r="C41" s="56">
        <v>-8.3</v>
      </c>
      <c r="D41" s="55">
        <v>-1029684.0</v>
      </c>
      <c r="E41" s="56">
        <v>-4.12</v>
      </c>
      <c r="F41" s="56">
        <v>-45.68</v>
      </c>
      <c r="G41" s="55">
        <v>-532944.0</v>
      </c>
      <c r="H41" s="56">
        <v>-2.16</v>
      </c>
      <c r="I41" s="56">
        <v>-48.24</v>
      </c>
      <c r="J41" s="55">
        <v>-1012076.0</v>
      </c>
      <c r="K41" s="56">
        <v>-3.69</v>
      </c>
      <c r="L41" s="56">
        <v>89.9</v>
      </c>
      <c r="M41" s="55">
        <v>-663190.0</v>
      </c>
      <c r="N41" s="56">
        <v>-1.87</v>
      </c>
      <c r="O41" s="56">
        <v>-34.47</v>
      </c>
    </row>
    <row r="42">
      <c r="A42" s="57" t="s">
        <v>697</v>
      </c>
      <c r="B42" s="58">
        <v>-545047.0</v>
      </c>
      <c r="C42" s="59">
        <v>-2.39</v>
      </c>
      <c r="D42" s="58">
        <v>438418.1</v>
      </c>
      <c r="E42" s="59">
        <v>1.75</v>
      </c>
      <c r="F42" s="59">
        <v>-180.44</v>
      </c>
      <c r="G42" s="58">
        <v>873259.6</v>
      </c>
      <c r="H42" s="59">
        <v>3.54</v>
      </c>
      <c r="I42" s="59">
        <v>99.18</v>
      </c>
      <c r="J42" s="58">
        <v>818788.3</v>
      </c>
      <c r="K42" s="59">
        <v>2.99</v>
      </c>
      <c r="L42" s="59">
        <v>-6.24</v>
      </c>
      <c r="M42" s="58">
        <v>1122030.0</v>
      </c>
      <c r="N42" s="59">
        <v>3.17</v>
      </c>
      <c r="O42" s="59">
        <v>37.04</v>
      </c>
    </row>
    <row r="43">
      <c r="A43" s="57" t="s">
        <v>698</v>
      </c>
      <c r="B43" s="58">
        <v>-1350588.0</v>
      </c>
      <c r="C43" s="59">
        <v>-5.92</v>
      </c>
      <c r="D43" s="58">
        <v>-1468102.0</v>
      </c>
      <c r="E43" s="59">
        <v>-5.87</v>
      </c>
      <c r="F43" s="59">
        <v>8.7</v>
      </c>
      <c r="G43" s="58">
        <v>-1406204.0</v>
      </c>
      <c r="H43" s="59">
        <v>-5.71</v>
      </c>
      <c r="I43" s="59">
        <v>-4.22</v>
      </c>
      <c r="J43" s="58">
        <v>-1830864.0</v>
      </c>
      <c r="K43" s="59">
        <v>-6.68</v>
      </c>
      <c r="L43" s="59">
        <v>30.2</v>
      </c>
      <c r="M43" s="58">
        <v>-1785220.0</v>
      </c>
      <c r="N43" s="59">
        <v>-5.04</v>
      </c>
      <c r="O43" s="59">
        <v>-2.49</v>
      </c>
    </row>
    <row r="44">
      <c r="A44" s="54" t="s">
        <v>699</v>
      </c>
      <c r="B44" s="55">
        <v>-3849343.0</v>
      </c>
      <c r="C44" s="56">
        <v>-16.86</v>
      </c>
      <c r="D44" s="55">
        <v>134000.7</v>
      </c>
      <c r="E44" s="56">
        <v>0.54</v>
      </c>
      <c r="F44" s="56">
        <v>-103.48</v>
      </c>
      <c r="G44" s="55">
        <v>-1116931.0</v>
      </c>
      <c r="H44" s="56">
        <v>-4.53</v>
      </c>
      <c r="I44" s="56">
        <v>-933.53</v>
      </c>
      <c r="J44" s="55">
        <v>586885.6</v>
      </c>
      <c r="K44" s="56">
        <v>2.14</v>
      </c>
      <c r="L44" s="56">
        <v>-152.54</v>
      </c>
      <c r="M44" s="55">
        <v>3108931.0</v>
      </c>
      <c r="N44" s="56">
        <v>8.78</v>
      </c>
      <c r="O44" s="56">
        <v>429.73</v>
      </c>
    </row>
    <row r="45">
      <c r="A45" s="57" t="s">
        <v>700</v>
      </c>
      <c r="B45" s="58">
        <v>-330124.0</v>
      </c>
      <c r="C45" s="59">
        <v>-1.45</v>
      </c>
      <c r="D45" s="58">
        <v>-429267.0</v>
      </c>
      <c r="E45" s="59">
        <v>-1.72</v>
      </c>
      <c r="F45" s="59">
        <v>30.03</v>
      </c>
      <c r="G45" s="58">
        <v>16190.32</v>
      </c>
      <c r="H45" s="59">
        <v>0.07</v>
      </c>
      <c r="I45" s="59">
        <v>-103.77</v>
      </c>
      <c r="J45" s="58">
        <v>236801.6</v>
      </c>
      <c r="K45" s="59">
        <v>0.86</v>
      </c>
      <c r="L45" s="59">
        <v>1362.61</v>
      </c>
      <c r="M45" s="58">
        <v>-1185100.0</v>
      </c>
      <c r="N45" s="59">
        <v>-3.35</v>
      </c>
      <c r="O45" s="59">
        <v>-600.46</v>
      </c>
    </row>
    <row r="46">
      <c r="A46" s="54" t="s">
        <v>701</v>
      </c>
      <c r="B46" s="55">
        <v>-4179467.0</v>
      </c>
      <c r="C46" s="56">
        <v>-18.31</v>
      </c>
      <c r="D46" s="55">
        <v>-295267.0</v>
      </c>
      <c r="E46" s="56">
        <v>-1.18</v>
      </c>
      <c r="F46" s="56">
        <v>-92.94</v>
      </c>
      <c r="G46" s="55">
        <v>-1100741.0</v>
      </c>
      <c r="H46" s="56">
        <v>-4.47</v>
      </c>
      <c r="I46" s="56">
        <v>272.8</v>
      </c>
      <c r="J46" s="55">
        <v>823687.2</v>
      </c>
      <c r="K46" s="56">
        <v>3.0</v>
      </c>
      <c r="L46" s="56">
        <v>-174.83</v>
      </c>
      <c r="M46" s="55">
        <v>1923831.0</v>
      </c>
      <c r="N46" s="56">
        <v>5.43</v>
      </c>
      <c r="O46" s="56">
        <v>133.56</v>
      </c>
    </row>
    <row r="50">
      <c r="B50" s="65"/>
    </row>
  </sheetData>
  <mergeCells count="2">
    <mergeCell ref="A1:D1"/>
    <mergeCell ref="A31:C31"/>
  </mergeCells>
  <drawing r:id="rId1"/>
</worksheet>
</file>